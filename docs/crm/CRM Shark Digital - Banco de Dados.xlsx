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Painel" sheetId="2" state="visible" r:id="rId2"/>
    <sheet name="Listas do CRM" sheetId="3" state="visible" r:id="rId3"/>
    <sheet name="Leia-me" sheetId="4" state="visible" r:id="rId4"/>
  </sheets>
  <definedNames>
    <definedName name="_xlnm._FilterDatabase" localSheetId="0" hidden="1">'Leads'!$A$1:$Y$9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&quot;R$&quot; #,##0"/>
    <numFmt numFmtId="167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6F7988"/>
      <sz val="9"/>
    </font>
    <font>
      <name val="Arial"/>
      <color rgb="0012161B"/>
      <sz val="10"/>
    </font>
    <font>
      <name val="Arial"/>
      <b val="1"/>
      <color rgb="0012161B"/>
      <sz val="16"/>
    </font>
    <font>
      <name val="Arial"/>
      <color rgb="006F7988"/>
      <sz val="10"/>
    </font>
    <font>
      <name val="Arial"/>
      <b val="1"/>
      <color rgb="0012161B"/>
      <sz val="18"/>
    </font>
    <font>
      <name val="Arial"/>
      <b val="1"/>
      <color rgb="009AA3AF"/>
      <sz val="9"/>
    </font>
    <font>
      <name val="Arial"/>
      <b val="1"/>
      <color rgb="00D49B22"/>
      <sz val="18"/>
    </font>
    <font>
      <name val="Arial"/>
      <b val="1"/>
      <color rgb="0012161B"/>
      <sz val="10"/>
    </font>
    <font>
      <name val="Arial"/>
      <b val="1"/>
      <color rgb="0012161B"/>
      <sz val="11"/>
    </font>
    <font>
      <name val="Arial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01419"/>
      </patternFill>
    </fill>
    <fill>
      <patternFill patternType="solid">
        <fgColor rgb="00E2E5E9"/>
      </patternFill>
    </fill>
    <fill>
      <patternFill patternType="solid">
        <fgColor rgb="00F5F6F8"/>
      </patternFill>
    </fill>
  </fills>
  <borders count="2">
    <border>
      <left/>
      <right/>
      <top/>
      <bottom/>
      <diagonal/>
    </border>
    <border>
      <left style="thin">
        <color rgb="00D9DDE3"/>
      </left>
      <right style="thin">
        <color rgb="00D9DDE3"/>
      </right>
      <top style="thin">
        <color rgb="00D9DDE3"/>
      </top>
      <bottom style="thin">
        <color rgb="00D9DDE3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1" fontId="3" fillId="0" borderId="0" pivotButton="0" quotePrefix="0" xfId="0"/>
    <xf numFmtId="165" fontId="3" fillId="0" borderId="0" pivotButton="0" quotePrefix="0" xfId="0"/>
    <xf numFmtId="0" fontId="3" fillId="0" borderId="0" pivotButton="0" quotePrefix="0" xfId="0"/>
    <xf numFmtId="166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7" fillId="2" borderId="0" pivotButton="0" quotePrefix="0" xfId="0"/>
    <xf numFmtId="0" fontId="0" fillId="2" borderId="0" pivotButton="0" quotePrefix="0" xfId="0"/>
    <xf numFmtId="1" fontId="6" fillId="0" borderId="0" pivotButton="0" quotePrefix="0" xfId="0"/>
    <xf numFmtId="167" fontId="6" fillId="0" borderId="0" pivotButton="0" quotePrefix="0" xfId="0"/>
    <xf numFmtId="166" fontId="8" fillId="2" borderId="0" pivotButton="0" quotePrefix="0" xfId="0"/>
    <xf numFmtId="166" fontId="6" fillId="0" borderId="0" pivotButton="0" quotePrefix="0" xfId="0"/>
    <xf numFmtId="166" fontId="9" fillId="0" borderId="0" pivotButton="0" quotePrefix="0" xfId="0"/>
    <xf numFmtId="0" fontId="10" fillId="0" borderId="0" pivotButton="0" quotePrefix="0" xfId="0"/>
    <xf numFmtId="0" fontId="11" fillId="2" borderId="1" pivotButton="0" quotePrefix="0" xfId="0"/>
    <xf numFmtId="0" fontId="3" fillId="0" borderId="1" pivotButton="0" quotePrefix="0" xfId="0"/>
    <xf numFmtId="1" fontId="3" fillId="0" borderId="1" pivotButton="0" quotePrefix="0" xfId="0"/>
    <xf numFmtId="166" fontId="3" fillId="0" borderId="1" pivotButton="0" quotePrefix="0" xfId="0"/>
    <xf numFmtId="0" fontId="3" fillId="4" borderId="1" pivotButton="0" quotePrefix="0" xfId="0"/>
    <xf numFmtId="1" fontId="3" fillId="4" borderId="1" pivotButton="0" quotePrefix="0" xfId="0"/>
    <xf numFmtId="166" fontId="3" fillId="4" borderId="1" pivotButton="0" quotePrefix="0" xfId="0"/>
    <xf numFmtId="0" fontId="1" fillId="2" borderId="0" pivotButton="0" quotePrefix="0" xfId="0"/>
    <xf numFmtId="0" fontId="2" fillId="3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49B22"/>
    <outlinePr summaryBelow="1" summaryRight="1"/>
    <pageSetUpPr/>
  </sheetPr>
  <dimension ref="A1:AG20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3" customWidth="1" min="2" max="2"/>
    <col width="28" customWidth="1" min="3" max="3"/>
    <col width="20" customWidth="1" min="4" max="4"/>
    <col width="17" customWidth="1" min="5" max="5"/>
    <col width="16" customWidth="1" min="6" max="6"/>
    <col width="24" customWidth="1" min="7" max="7"/>
    <col width="20" customWidth="1" min="8" max="8"/>
    <col width="14" customWidth="1" min="9" max="9"/>
    <col width="16" customWidth="1" min="10" max="10"/>
    <col width="16" customWidth="1" min="11" max="11"/>
    <col width="20" customWidth="1" min="12" max="12"/>
    <col width="28" customWidth="1" min="13" max="13"/>
    <col width="36" customWidth="1" min="14" max="14"/>
    <col width="19" customWidth="1" min="15" max="15"/>
    <col width="11" customWidth="1" min="16" max="16"/>
    <col width="12" customWidth="1" min="17" max="17"/>
    <col width="11" customWidth="1" min="18" max="18"/>
    <col width="13" customWidth="1" min="19" max="19"/>
    <col width="12" customWidth="1" min="20" max="20"/>
    <col width="14" customWidth="1" min="21" max="21"/>
    <col width="14" customWidth="1" min="22" max="22"/>
    <col width="26" customWidth="1" min="23" max="23"/>
    <col width="36" customWidth="1" min="24" max="24"/>
    <col width="22" customWidth="1" min="25" max="25"/>
    <col hidden="1" outlineLevel="1" width="14" customWidth="1" min="26" max="33"/>
  </cols>
  <sheetData>
    <row r="1" ht="24" customHeight="1">
      <c r="A1" s="1" t="inlineStr">
        <is>
          <t>ID</t>
        </is>
      </c>
      <c r="B1" s="1" t="inlineStr">
        <is>
          <t>Data de Cadastro</t>
        </is>
      </c>
      <c r="C1" s="1" t="inlineStr">
        <is>
          <t>Empresa</t>
        </is>
      </c>
      <c r="D1" s="1" t="inlineStr">
        <is>
          <t>Nome do Contato</t>
        </is>
      </c>
      <c r="E1" s="1" t="inlineStr">
        <is>
          <t>WhatsApp</t>
        </is>
      </c>
      <c r="F1" s="1" t="inlineStr">
        <is>
          <t>Telefone (E.164)</t>
        </is>
      </c>
      <c r="G1" s="1" t="inlineStr">
        <is>
          <t>E-mail</t>
        </is>
      </c>
      <c r="H1" s="1" t="inlineStr">
        <is>
          <t>Instagram ou Site</t>
        </is>
      </c>
      <c r="I1" s="1" t="inlineStr">
        <is>
          <t>Cidade</t>
        </is>
      </c>
      <c r="J1" s="1" t="inlineStr">
        <is>
          <t>Nicho</t>
        </is>
      </c>
      <c r="K1" s="1" t="inlineStr">
        <is>
          <t>Canal de Entrada</t>
        </is>
      </c>
      <c r="L1" s="1" t="inlineStr">
        <is>
          <t>Origem Detalhada</t>
        </is>
      </c>
      <c r="M1" s="1" t="inlineStr">
        <is>
          <t>Serviços</t>
        </is>
      </c>
      <c r="N1" s="1" t="inlineStr">
        <is>
          <t>Demanda</t>
        </is>
      </c>
      <c r="O1" s="1" t="inlineStr">
        <is>
          <t>Status</t>
        </is>
      </c>
      <c r="P1" s="1" t="inlineStr">
        <is>
          <t>Converteu?</t>
        </is>
      </c>
      <c r="Q1" s="1" t="inlineStr">
        <is>
          <t>Fee Mensal</t>
        </is>
      </c>
      <c r="R1" s="1" t="inlineStr">
        <is>
          <t>Setup</t>
        </is>
      </c>
      <c r="S1" s="1" t="inlineStr">
        <is>
          <t>Verba de Mídia</t>
        </is>
      </c>
      <c r="T1" s="1" t="inlineStr">
        <is>
          <t>Temperatura</t>
        </is>
      </c>
      <c r="U1" s="1" t="inlineStr">
        <is>
          <t>Próximo Retorno</t>
        </is>
      </c>
      <c r="V1" s="1" t="inlineStr">
        <is>
          <t>Responsável</t>
        </is>
      </c>
      <c r="W1" s="1" t="inlineStr">
        <is>
          <t>Motivo de Perda</t>
        </is>
      </c>
      <c r="X1" s="1" t="inlineStr">
        <is>
          <t>Observações</t>
        </is>
      </c>
      <c r="Y1" s="1" t="inlineStr">
        <is>
          <t>Aviso Telefone</t>
        </is>
      </c>
      <c r="Z1" s="2" t="inlineStr">
        <is>
          <t>_id</t>
        </is>
      </c>
      <c r="AA1" s="2" t="inlineStr">
        <is>
          <t>_ordem</t>
        </is>
      </c>
      <c r="AB1" s="2" t="inlineStr">
        <is>
          <t>_criado_em</t>
        </is>
      </c>
      <c r="AC1" s="2" t="inlineStr">
        <is>
          <t>_atualizado_em</t>
        </is>
      </c>
      <c r="AD1" s="2" t="inlineStr">
        <is>
          <t>_etapa_em</t>
        </is>
      </c>
      <c r="AE1" s="2" t="inlineStr">
        <is>
          <t>_fechado_em</t>
        </is>
      </c>
      <c r="AF1" s="2" t="inlineStr">
        <is>
          <t>_exemplo</t>
        </is>
      </c>
      <c r="AG1" s="2" t="inlineStr">
        <is>
          <t>_historico</t>
        </is>
      </c>
    </row>
    <row r="2">
      <c r="A2" s="3" t="n">
        <v>1</v>
      </c>
      <c r="B2" s="4" t="n">
        <v>46307</v>
      </c>
      <c r="C2" s="5" t="inlineStr">
        <is>
          <t>Clínica Odonto Sorriso</t>
        </is>
      </c>
      <c r="D2" s="5" t="inlineStr">
        <is>
          <t>Carla</t>
        </is>
      </c>
      <c r="E2" s="5" t="n"/>
      <c r="F2" s="5" t="n"/>
      <c r="G2" s="5" t="n"/>
      <c r="H2" s="5" t="n"/>
      <c r="I2" s="5" t="n"/>
      <c r="J2" s="5" t="inlineStr">
        <is>
          <t>Saúde</t>
        </is>
      </c>
      <c r="K2" s="5" t="inlineStr">
        <is>
          <t>Tráfego pago</t>
        </is>
      </c>
      <c r="L2" s="5" t="inlineStr">
        <is>
          <t>Meta Ads - Instagram</t>
        </is>
      </c>
      <c r="M2" s="5" t="inlineStr">
        <is>
          <t>Tráfego Pago, Landing Page</t>
        </is>
      </c>
      <c r="N2" s="5" t="inlineStr">
        <is>
          <t>Quer encher a agenda de implantes. Hoje depende só de indicação.</t>
        </is>
      </c>
      <c r="O2" s="5" t="inlineStr">
        <is>
          <t>Novo lead</t>
        </is>
      </c>
      <c r="P2" s="5" t="inlineStr">
        <is>
          <t>Não</t>
        </is>
      </c>
      <c r="Q2" s="6" t="n">
        <v>3500</v>
      </c>
      <c r="R2" s="6" t="n">
        <v>1500</v>
      </c>
      <c r="S2" s="6" t="n">
        <v>3000</v>
      </c>
      <c r="T2" s="5" t="inlineStr">
        <is>
          <t>Quente</t>
        </is>
      </c>
      <c r="U2" s="4" t="n">
        <v>46308</v>
      </c>
      <c r="V2" s="5" t="inlineStr">
        <is>
          <t>Vinicius</t>
        </is>
      </c>
      <c r="W2" s="5" t="n"/>
      <c r="X2" s="5" t="n"/>
      <c r="Y2" s="5" t="n"/>
      <c r="Z2" s="5" t="inlineStr">
        <is>
          <t>ex1</t>
        </is>
      </c>
      <c r="AA2" s="3" t="n">
        <v>-1791776685748</v>
      </c>
      <c r="AB2" s="3" t="n">
        <v>1791776685748</v>
      </c>
      <c r="AC2" s="3" t="n">
        <v>1791776685748</v>
      </c>
      <c r="AD2" s="3" t="n">
        <v>1791776685748</v>
      </c>
      <c r="AE2" s="3" t="n">
        <v>0</v>
      </c>
      <c r="AF2" s="5" t="b">
        <v>1</v>
      </c>
      <c r="AG2" s="5" t="inlineStr">
        <is>
          <t>[{"t":1791776685748,"k":"create"}]</t>
        </is>
      </c>
    </row>
    <row r="3">
      <c r="A3" s="3" t="n">
        <v>2</v>
      </c>
      <c r="B3" s="4" t="n">
        <v>46304</v>
      </c>
      <c r="C3" s="5" t="inlineStr">
        <is>
          <t>Bistrô Três Fronteiras</t>
        </is>
      </c>
      <c r="D3" s="5" t="inlineStr">
        <is>
          <t>Rafael</t>
        </is>
      </c>
      <c r="E3" s="5" t="n"/>
      <c r="F3" s="5" t="n"/>
      <c r="G3" s="5" t="n"/>
      <c r="H3" s="5" t="n"/>
      <c r="I3" s="5" t="n"/>
      <c r="J3" s="5" t="inlineStr">
        <is>
          <t>Alimentação</t>
        </is>
      </c>
      <c r="K3" s="5" t="inlineStr">
        <is>
          <t>Orgânico</t>
        </is>
      </c>
      <c r="L3" s="5" t="inlineStr">
        <is>
          <t>Instagram orgânico</t>
        </is>
      </c>
      <c r="M3" s="5" t="inlineStr">
        <is>
          <t>Social Media, Produção de Vídeo</t>
        </is>
      </c>
      <c r="N3" s="5" t="inlineStr">
        <is>
          <t>Precisa de conteúdo para o delivery e reels do salão.</t>
        </is>
      </c>
      <c r="O3" s="5" t="inlineStr">
        <is>
          <t>Primeiro contato</t>
        </is>
      </c>
      <c r="P3" s="5" t="inlineStr">
        <is>
          <t>Não</t>
        </is>
      </c>
      <c r="Q3" s="6" t="n">
        <v>2200</v>
      </c>
      <c r="R3" s="6" t="n">
        <v>0</v>
      </c>
      <c r="S3" s="6" t="n">
        <v>800</v>
      </c>
      <c r="T3" s="5" t="inlineStr">
        <is>
          <t>Morno</t>
        </is>
      </c>
      <c r="U3" s="4" t="n">
        <v>46309</v>
      </c>
      <c r="V3" s="5" t="inlineStr">
        <is>
          <t>Vinicius</t>
        </is>
      </c>
      <c r="W3" s="5" t="n"/>
      <c r="X3" s="5" t="n"/>
      <c r="Y3" s="5" t="n"/>
      <c r="Z3" s="5" t="inlineStr">
        <is>
          <t>ex2</t>
        </is>
      </c>
      <c r="AA3" s="3" t="n">
        <v>-1791517485748</v>
      </c>
      <c r="AB3" s="3" t="n">
        <v>1791517485748</v>
      </c>
      <c r="AC3" s="3" t="n">
        <v>1791690285748</v>
      </c>
      <c r="AD3" s="3" t="n">
        <v>1791690285748</v>
      </c>
      <c r="AE3" s="3" t="n">
        <v>0</v>
      </c>
      <c r="AF3" s="5" t="b">
        <v>1</v>
      </c>
      <c r="AG3" s="5" t="inlineStr">
        <is>
          <t>[{"t":1791517485748,"k":"create"},{"t":1791690285748,"k":"stage","from":"novo","to":"contato","txt":""},{"t":1791863085748,"k":"note","txt":"Mandou áudio pedindo exemplos de reels de restaurante."}]</t>
        </is>
      </c>
    </row>
    <row r="4">
      <c r="A4" s="3" t="n">
        <v>3</v>
      </c>
      <c r="B4" s="4" t="n">
        <v>46300</v>
      </c>
      <c r="C4" s="5" t="inlineStr">
        <is>
          <t>Imobiliária Cataratas</t>
        </is>
      </c>
      <c r="D4" s="5" t="inlineStr">
        <is>
          <t>Marcos</t>
        </is>
      </c>
      <c r="E4" s="5" t="n"/>
      <c r="F4" s="5" t="n"/>
      <c r="G4" s="5" t="n"/>
      <c r="H4" s="5" t="n"/>
      <c r="I4" s="5" t="n"/>
      <c r="J4" s="5" t="inlineStr">
        <is>
          <t>Imobiliário</t>
        </is>
      </c>
      <c r="K4" s="5" t="inlineStr">
        <is>
          <t>Indicação</t>
        </is>
      </c>
      <c r="L4" s="5" t="inlineStr">
        <is>
          <t>Indicação</t>
        </is>
      </c>
      <c r="M4" s="5" t="inlineStr">
        <is>
          <t>Tráfego Pago, Automação / CRM</t>
        </is>
      </c>
      <c r="N4" s="5" t="inlineStr">
        <is>
          <t>Leads de lançamento chegam frios. Quer qualificar no WhatsApp.</t>
        </is>
      </c>
      <c r="O4" s="5" t="inlineStr">
        <is>
          <t>Aguardando retorno</t>
        </is>
      </c>
      <c r="P4" s="5" t="inlineStr">
        <is>
          <t>Não</t>
        </is>
      </c>
      <c r="Q4" s="6" t="n">
        <v>4800</v>
      </c>
      <c r="R4" s="6" t="n">
        <v>2000</v>
      </c>
      <c r="S4" s="6" t="n">
        <v>6000</v>
      </c>
      <c r="T4" s="5" t="inlineStr">
        <is>
          <t>Morno</t>
        </is>
      </c>
      <c r="U4" s="4" t="n">
        <v>46306</v>
      </c>
      <c r="V4" s="5" t="inlineStr">
        <is>
          <t>Vinicius</t>
        </is>
      </c>
      <c r="W4" s="5" t="n"/>
      <c r="X4" s="5" t="n"/>
      <c r="Y4" s="5" t="n"/>
      <c r="Z4" s="5" t="inlineStr">
        <is>
          <t>ex3</t>
        </is>
      </c>
      <c r="AA4" s="3" t="n">
        <v>-1791171885748</v>
      </c>
      <c r="AB4" s="3" t="n">
        <v>1791171885748</v>
      </c>
      <c r="AC4" s="3" t="n">
        <v>1791171885748</v>
      </c>
      <c r="AD4" s="3" t="n">
        <v>1791171885748</v>
      </c>
      <c r="AE4" s="3" t="n">
        <v>0</v>
      </c>
      <c r="AF4" s="5" t="b">
        <v>1</v>
      </c>
      <c r="AG4" s="5" t="inlineStr">
        <is>
          <t>[{"t":1791171885748,"k":"create"},{"t":1791171885748,"k":"stage","from":"contato","to":"aguardando","txt":""}]</t>
        </is>
      </c>
    </row>
    <row r="5">
      <c r="A5" s="3" t="n">
        <v>4</v>
      </c>
      <c r="B5" s="4" t="n">
        <v>46297</v>
      </c>
      <c r="C5" s="5" t="inlineStr">
        <is>
          <t>Studio Bella Estética</t>
        </is>
      </c>
      <c r="D5" s="5" t="inlineStr">
        <is>
          <t>Juliana</t>
        </is>
      </c>
      <c r="E5" s="5" t="n"/>
      <c r="F5" s="5" t="n"/>
      <c r="G5" s="5" t="n"/>
      <c r="H5" s="5" t="n"/>
      <c r="I5" s="5" t="n"/>
      <c r="J5" s="5" t="inlineStr">
        <is>
          <t>Estética e beleza</t>
        </is>
      </c>
      <c r="K5" s="5" t="inlineStr">
        <is>
          <t>Tráfego pago</t>
        </is>
      </c>
      <c r="L5" s="5" t="inlineStr">
        <is>
          <t>Google Ads</t>
        </is>
      </c>
      <c r="M5" s="5" t="inlineStr">
        <is>
          <t>Tráfego Pago, Social Media</t>
        </is>
      </c>
      <c r="N5" s="5" t="inlineStr">
        <is>
          <t>Reunião de diagnóstico marcada. Ticket alto em harmonização.</t>
        </is>
      </c>
      <c r="O5" s="5" t="inlineStr">
        <is>
          <t>Reunião agendada</t>
        </is>
      </c>
      <c r="P5" s="5" t="inlineStr">
        <is>
          <t>Não</t>
        </is>
      </c>
      <c r="Q5" s="6" t="n">
        <v>3200</v>
      </c>
      <c r="R5" s="6" t="n">
        <v>0</v>
      </c>
      <c r="S5" s="6" t="n">
        <v>2500</v>
      </c>
      <c r="T5" s="5" t="inlineStr">
        <is>
          <t>Quente</t>
        </is>
      </c>
      <c r="U5" s="4" t="n">
        <v>46310</v>
      </c>
      <c r="V5" s="5" t="inlineStr">
        <is>
          <t>Vinicius</t>
        </is>
      </c>
      <c r="W5" s="5" t="n"/>
      <c r="X5" s="5" t="n"/>
      <c r="Y5" s="5" t="n"/>
      <c r="Z5" s="5" t="inlineStr">
        <is>
          <t>ex4</t>
        </is>
      </c>
      <c r="AA5" s="3" t="n">
        <v>-1790912685748</v>
      </c>
      <c r="AB5" s="3" t="n">
        <v>1790912685748</v>
      </c>
      <c r="AC5" s="3" t="n">
        <v>1791776685748</v>
      </c>
      <c r="AD5" s="3" t="n">
        <v>1791776685748</v>
      </c>
      <c r="AE5" s="3" t="n">
        <v>0</v>
      </c>
      <c r="AF5" s="5" t="b">
        <v>1</v>
      </c>
      <c r="AG5" s="5" t="inlineStr">
        <is>
          <t>[{"t":1790912685748,"k":"create"},{"t":1791776685748,"k":"stage","from":"aguardando","to":"reuniao","txt":""}]</t>
        </is>
      </c>
    </row>
    <row r="6">
      <c r="A6" s="3" t="n">
        <v>5</v>
      </c>
      <c r="B6" s="4" t="n">
        <v>46291</v>
      </c>
      <c r="C6" s="5" t="inlineStr">
        <is>
          <t>Solar Iguaçu Energia</t>
        </is>
      </c>
      <c r="D6" s="5" t="inlineStr">
        <is>
          <t>André</t>
        </is>
      </c>
      <c r="E6" s="5" t="n"/>
      <c r="F6" s="5" t="n"/>
      <c r="G6" s="5" t="n"/>
      <c r="H6" s="5" t="n"/>
      <c r="I6" s="5" t="n"/>
      <c r="J6" s="5" t="inlineStr">
        <is>
          <t>Energia solar</t>
        </is>
      </c>
      <c r="K6" s="5" t="inlineStr">
        <is>
          <t>Site</t>
        </is>
      </c>
      <c r="L6" s="5" t="inlineStr">
        <is>
          <t>Site</t>
        </is>
      </c>
      <c r="M6" s="5" t="inlineStr">
        <is>
          <t>Tráfego Pago, Landing Page, SEO</t>
        </is>
      </c>
      <c r="N6" s="5" t="inlineStr">
        <is>
          <t>Proposta de gestão 6 meses enviada. Comparando com outra agência.</t>
        </is>
      </c>
      <c r="O6" s="5" t="inlineStr">
        <is>
          <t>Proposta enviada</t>
        </is>
      </c>
      <c r="P6" s="5" t="inlineStr">
        <is>
          <t>Não</t>
        </is>
      </c>
      <c r="Q6" s="6" t="n">
        <v>5500</v>
      </c>
      <c r="R6" s="6" t="n">
        <v>3000</v>
      </c>
      <c r="S6" s="6" t="n">
        <v>8000</v>
      </c>
      <c r="T6" s="5" t="inlineStr">
        <is>
          <t>Quente</t>
        </is>
      </c>
      <c r="U6" s="4" t="n">
        <v>46311</v>
      </c>
      <c r="V6" s="5" t="inlineStr">
        <is>
          <t>Vinicius</t>
        </is>
      </c>
      <c r="W6" s="5" t="n"/>
      <c r="X6" s="5" t="n"/>
      <c r="Y6" s="5" t="n"/>
      <c r="Z6" s="5" t="inlineStr">
        <is>
          <t>ex5</t>
        </is>
      </c>
      <c r="AA6" s="3" t="n">
        <v>-1790394285748</v>
      </c>
      <c r="AB6" s="3" t="n">
        <v>1790394285748</v>
      </c>
      <c r="AC6" s="3" t="n">
        <v>1791603885748</v>
      </c>
      <c r="AD6" s="3" t="n">
        <v>1791603885748</v>
      </c>
      <c r="AE6" s="3" t="n">
        <v>0</v>
      </c>
      <c r="AF6" s="5" t="b">
        <v>1</v>
      </c>
      <c r="AG6" s="5" t="inlineStr">
        <is>
          <t>[{"t":1790394285748,"k":"create"},{"t":1791603885748,"k":"stage","from":"diagnostico","to":"proposta","txt":""},{"t":1791863085748,"k":"note","txt":"Enviei a proposta em PDF pelo WhatsApp."}]</t>
        </is>
      </c>
    </row>
    <row r="7">
      <c r="A7" s="3" t="n">
        <v>6</v>
      </c>
      <c r="B7" s="4" t="n">
        <v>46287</v>
      </c>
      <c r="C7" s="5" t="inlineStr">
        <is>
          <t>Advocacia Ribeiro e Lima</t>
        </is>
      </c>
      <c r="D7" s="5" t="inlineStr">
        <is>
          <t>Dra. Paula</t>
        </is>
      </c>
      <c r="E7" s="5" t="n"/>
      <c r="F7" s="5" t="n"/>
      <c r="G7" s="5" t="n"/>
      <c r="H7" s="5" t="n"/>
      <c r="I7" s="5" t="n"/>
      <c r="J7" s="5" t="inlineStr">
        <is>
          <t>Advocacia</t>
        </is>
      </c>
      <c r="K7" s="5" t="inlineStr">
        <is>
          <t>Indicação</t>
        </is>
      </c>
      <c r="L7" s="5" t="inlineStr">
        <is>
          <t>Indicação</t>
        </is>
      </c>
      <c r="M7" s="5" t="inlineStr">
        <is>
          <t>Gestão 360</t>
        </is>
      </c>
      <c r="N7" s="5" t="inlineStr">
        <is>
          <t>Negociando escopo. Pediu desconto no setup.</t>
        </is>
      </c>
      <c r="O7" s="5" t="inlineStr">
        <is>
          <t>Negociação</t>
        </is>
      </c>
      <c r="P7" s="5" t="inlineStr">
        <is>
          <t>Não</t>
        </is>
      </c>
      <c r="Q7" s="6" t="n">
        <v>6900</v>
      </c>
      <c r="R7" s="6" t="n">
        <v>2500</v>
      </c>
      <c r="S7" s="6" t="n">
        <v>5000</v>
      </c>
      <c r="T7" s="5" t="inlineStr">
        <is>
          <t>Quente</t>
        </is>
      </c>
      <c r="U7" s="4" t="n">
        <v>46309</v>
      </c>
      <c r="V7" s="5" t="inlineStr">
        <is>
          <t>Vinicius</t>
        </is>
      </c>
      <c r="W7" s="5" t="n"/>
      <c r="X7" s="5" t="n"/>
      <c r="Y7" s="5" t="n"/>
      <c r="Z7" s="5" t="inlineStr">
        <is>
          <t>ex6</t>
        </is>
      </c>
      <c r="AA7" s="3" t="n">
        <v>-1790048685748</v>
      </c>
      <c r="AB7" s="3" t="n">
        <v>1790048685748</v>
      </c>
      <c r="AC7" s="3" t="n">
        <v>1791863085748</v>
      </c>
      <c r="AD7" s="3" t="n">
        <v>1791863085748</v>
      </c>
      <c r="AE7" s="3" t="n">
        <v>0</v>
      </c>
      <c r="AF7" s="5" t="b">
        <v>1</v>
      </c>
      <c r="AG7" s="5" t="inlineStr">
        <is>
          <t>[{"t":1790048685748,"k":"create"},{"t":1791863085748,"k":"stage","from":"proposta","to":"negociacao","txt":""}]</t>
        </is>
      </c>
    </row>
    <row r="8">
      <c r="A8" s="3" t="n">
        <v>7</v>
      </c>
      <c r="B8" s="4" t="n">
        <v>46282</v>
      </c>
      <c r="C8" s="5" t="inlineStr">
        <is>
          <t>Academia Força Total</t>
        </is>
      </c>
      <c r="D8" s="5" t="inlineStr">
        <is>
          <t>Bruno</t>
        </is>
      </c>
      <c r="E8" s="5" t="n"/>
      <c r="F8" s="5" t="n"/>
      <c r="G8" s="5" t="n"/>
      <c r="H8" s="5" t="n"/>
      <c r="I8" s="5" t="n"/>
      <c r="J8" s="5" t="inlineStr">
        <is>
          <t>Serviços locais</t>
        </is>
      </c>
      <c r="K8" s="5" t="inlineStr">
        <is>
          <t>Tráfego pago</t>
        </is>
      </c>
      <c r="L8" s="5" t="inlineStr">
        <is>
          <t>Meta Ads - Facebook</t>
        </is>
      </c>
      <c r="M8" s="5" t="inlineStr">
        <is>
          <t>Social Media</t>
        </is>
      </c>
      <c r="N8" s="5" t="inlineStr">
        <is>
          <t>Fechou plano trimestral de social media.</t>
        </is>
      </c>
      <c r="O8" s="5" t="inlineStr">
        <is>
          <t>Fechado</t>
        </is>
      </c>
      <c r="P8" s="5" t="inlineStr">
        <is>
          <t>Sim</t>
        </is>
      </c>
      <c r="Q8" s="6" t="n">
        <v>1800</v>
      </c>
      <c r="R8" s="6" t="n">
        <v>900</v>
      </c>
      <c r="S8" s="6" t="n">
        <v>1500</v>
      </c>
      <c r="T8" s="5" t="inlineStr">
        <is>
          <t>Morno</t>
        </is>
      </c>
      <c r="U8" s="4" t="n"/>
      <c r="V8" s="5" t="inlineStr">
        <is>
          <t>Vinicius</t>
        </is>
      </c>
      <c r="W8" s="5" t="n"/>
      <c r="X8" s="5" t="n"/>
      <c r="Y8" s="5" t="n"/>
      <c r="Z8" s="5" t="inlineStr">
        <is>
          <t>ex7</t>
        </is>
      </c>
      <c r="AA8" s="3" t="n">
        <v>-1789616685748</v>
      </c>
      <c r="AB8" s="3" t="n">
        <v>1789616685748</v>
      </c>
      <c r="AC8" s="3" t="n">
        <v>1791431085748</v>
      </c>
      <c r="AD8" s="3" t="n">
        <v>1791431085748</v>
      </c>
      <c r="AE8" s="3" t="n">
        <v>1791431085748</v>
      </c>
      <c r="AF8" s="5" t="b">
        <v>1</v>
      </c>
      <c r="AG8" s="5" t="inlineStr">
        <is>
          <t>[{"t":1789616685748,"k":"create"},{"t":1791431085748,"k":"stage","from":"negociacao","to":"fechado","txt":""}]</t>
        </is>
      </c>
    </row>
    <row r="9">
      <c r="A9" s="3" t="n">
        <v>8</v>
      </c>
      <c r="B9" s="4" t="n">
        <v>46279</v>
      </c>
      <c r="C9" s="5" t="inlineStr">
        <is>
          <t>Escola de Idiomas Ponte</t>
        </is>
      </c>
      <c r="D9" s="5" t="inlineStr">
        <is>
          <t>Fernanda</t>
        </is>
      </c>
      <c r="E9" s="5" t="n"/>
      <c r="F9" s="5" t="n"/>
      <c r="G9" s="5" t="n"/>
      <c r="H9" s="5" t="n"/>
      <c r="I9" s="5" t="n"/>
      <c r="J9" s="5" t="inlineStr">
        <is>
          <t>Educação</t>
        </is>
      </c>
      <c r="K9" s="5" t="inlineStr">
        <is>
          <t>Prospecção ativa</t>
        </is>
      </c>
      <c r="L9" s="5" t="inlineStr">
        <is>
          <t>Prospecção ativa</t>
        </is>
      </c>
      <c r="M9" s="5" t="inlineStr">
        <is>
          <t>Tráfego Pago</t>
        </is>
      </c>
      <c r="N9" s="5" t="n"/>
      <c r="O9" s="5" t="inlineStr">
        <is>
          <t>Perdido</t>
        </is>
      </c>
      <c r="P9" s="5" t="inlineStr">
        <is>
          <t>Não</t>
        </is>
      </c>
      <c r="Q9" s="6" t="n">
        <v>2500</v>
      </c>
      <c r="R9" s="6" t="n">
        <v>0</v>
      </c>
      <c r="S9" s="6" t="n">
        <v>2000</v>
      </c>
      <c r="T9" s="5" t="inlineStr">
        <is>
          <t>Frio</t>
        </is>
      </c>
      <c r="U9" s="4" t="n"/>
      <c r="V9" s="5" t="inlineStr">
        <is>
          <t>Vinicius</t>
        </is>
      </c>
      <c r="W9" s="5" t="inlineStr">
        <is>
          <t>Sem orçamento · Achou caro para o momento</t>
        </is>
      </c>
      <c r="X9" s="5" t="n"/>
      <c r="Y9" s="5" t="n"/>
      <c r="Z9" s="5" t="inlineStr">
        <is>
          <t>ex8</t>
        </is>
      </c>
      <c r="AA9" s="3" t="n">
        <v>-1789357485748</v>
      </c>
      <c r="AB9" s="3" t="n">
        <v>1789357485748</v>
      </c>
      <c r="AC9" s="3" t="n">
        <v>1791085485748</v>
      </c>
      <c r="AD9" s="3" t="n">
        <v>1791085485748</v>
      </c>
      <c r="AE9" s="3" t="n">
        <v>0</v>
      </c>
      <c r="AF9" s="5" t="b">
        <v>1</v>
      </c>
      <c r="AG9" s="5" t="inlineStr">
        <is>
          <t>[{"t":1789357485748,"k":"create"},{"t":1791085485748,"k":"stage","from":"proposta","to":"perdido","txt":"Sem orçamento · Achou caro para o momento"}]</t>
        </is>
      </c>
    </row>
    <row r="10">
      <c r="A10" s="3" t="n"/>
      <c r="B10" s="4" t="n"/>
      <c r="Q10" s="6" t="n"/>
      <c r="R10" s="6" t="n"/>
      <c r="S10" s="6" t="n"/>
      <c r="U10" s="4" t="n"/>
      <c r="AA10" s="3" t="n"/>
      <c r="AB10" s="3" t="n"/>
      <c r="AC10" s="3" t="n"/>
      <c r="AD10" s="3" t="n"/>
      <c r="AE10" s="3" t="n"/>
    </row>
    <row r="11">
      <c r="A11" s="3" t="n"/>
      <c r="B11" s="4" t="n"/>
      <c r="Q11" s="6" t="n"/>
      <c r="R11" s="6" t="n"/>
      <c r="S11" s="6" t="n"/>
      <c r="U11" s="4" t="n"/>
      <c r="AA11" s="3" t="n"/>
      <c r="AB11" s="3" t="n"/>
      <c r="AC11" s="3" t="n"/>
      <c r="AD11" s="3" t="n"/>
      <c r="AE11" s="3" t="n"/>
    </row>
    <row r="12">
      <c r="A12" s="3" t="n"/>
      <c r="B12" s="4" t="n"/>
      <c r="Q12" s="6" t="n"/>
      <c r="R12" s="6" t="n"/>
      <c r="S12" s="6" t="n"/>
      <c r="U12" s="4" t="n"/>
      <c r="AA12" s="3" t="n"/>
      <c r="AB12" s="3" t="n"/>
      <c r="AC12" s="3" t="n"/>
      <c r="AD12" s="3" t="n"/>
      <c r="AE12" s="3" t="n"/>
    </row>
    <row r="13">
      <c r="A13" s="3" t="n"/>
      <c r="B13" s="4" t="n"/>
      <c r="Q13" s="6" t="n"/>
      <c r="R13" s="6" t="n"/>
      <c r="S13" s="6" t="n"/>
      <c r="U13" s="4" t="n"/>
      <c r="AA13" s="3" t="n"/>
      <c r="AB13" s="3" t="n"/>
      <c r="AC13" s="3" t="n"/>
      <c r="AD13" s="3" t="n"/>
      <c r="AE13" s="3" t="n"/>
    </row>
    <row r="14">
      <c r="A14" s="3" t="n"/>
      <c r="B14" s="4" t="n"/>
      <c r="Q14" s="6" t="n"/>
      <c r="R14" s="6" t="n"/>
      <c r="S14" s="6" t="n"/>
      <c r="U14" s="4" t="n"/>
      <c r="AA14" s="3" t="n"/>
      <c r="AB14" s="3" t="n"/>
      <c r="AC14" s="3" t="n"/>
      <c r="AD14" s="3" t="n"/>
      <c r="AE14" s="3" t="n"/>
    </row>
    <row r="15">
      <c r="A15" s="3" t="n"/>
      <c r="B15" s="4" t="n"/>
      <c r="Q15" s="6" t="n"/>
      <c r="R15" s="6" t="n"/>
      <c r="S15" s="6" t="n"/>
      <c r="U15" s="4" t="n"/>
      <c r="AA15" s="3" t="n"/>
      <c r="AB15" s="3" t="n"/>
      <c r="AC15" s="3" t="n"/>
      <c r="AD15" s="3" t="n"/>
      <c r="AE15" s="3" t="n"/>
    </row>
    <row r="16">
      <c r="A16" s="3" t="n"/>
      <c r="B16" s="4" t="n"/>
      <c r="Q16" s="6" t="n"/>
      <c r="R16" s="6" t="n"/>
      <c r="S16" s="6" t="n"/>
      <c r="U16" s="4" t="n"/>
      <c r="AA16" s="3" t="n"/>
      <c r="AB16" s="3" t="n"/>
      <c r="AC16" s="3" t="n"/>
      <c r="AD16" s="3" t="n"/>
      <c r="AE16" s="3" t="n"/>
    </row>
    <row r="17">
      <c r="A17" s="3" t="n"/>
      <c r="B17" s="4" t="n"/>
      <c r="Q17" s="6" t="n"/>
      <c r="R17" s="6" t="n"/>
      <c r="S17" s="6" t="n"/>
      <c r="U17" s="4" t="n"/>
      <c r="AA17" s="3" t="n"/>
      <c r="AB17" s="3" t="n"/>
      <c r="AC17" s="3" t="n"/>
      <c r="AD17" s="3" t="n"/>
      <c r="AE17" s="3" t="n"/>
    </row>
    <row r="18">
      <c r="A18" s="3" t="n"/>
      <c r="B18" s="4" t="n"/>
      <c r="Q18" s="6" t="n"/>
      <c r="R18" s="6" t="n"/>
      <c r="S18" s="6" t="n"/>
      <c r="U18" s="4" t="n"/>
      <c r="AA18" s="3" t="n"/>
      <c r="AB18" s="3" t="n"/>
      <c r="AC18" s="3" t="n"/>
      <c r="AD18" s="3" t="n"/>
      <c r="AE18" s="3" t="n"/>
    </row>
    <row r="19">
      <c r="A19" s="3" t="n"/>
      <c r="B19" s="4" t="n"/>
      <c r="Q19" s="6" t="n"/>
      <c r="R19" s="6" t="n"/>
      <c r="S19" s="6" t="n"/>
      <c r="U19" s="4" t="n"/>
      <c r="AA19" s="3" t="n"/>
      <c r="AB19" s="3" t="n"/>
      <c r="AC19" s="3" t="n"/>
      <c r="AD19" s="3" t="n"/>
      <c r="AE19" s="3" t="n"/>
    </row>
    <row r="20">
      <c r="A20" s="3" t="n"/>
      <c r="B20" s="4" t="n"/>
      <c r="Q20" s="6" t="n"/>
      <c r="R20" s="6" t="n"/>
      <c r="S20" s="6" t="n"/>
      <c r="U20" s="4" t="n"/>
      <c r="AA20" s="3" t="n"/>
      <c r="AB20" s="3" t="n"/>
      <c r="AC20" s="3" t="n"/>
      <c r="AD20" s="3" t="n"/>
      <c r="AE20" s="3" t="n"/>
    </row>
    <row r="21">
      <c r="A21" s="3" t="n"/>
      <c r="B21" s="4" t="n"/>
      <c r="Q21" s="6" t="n"/>
      <c r="R21" s="6" t="n"/>
      <c r="S21" s="6" t="n"/>
      <c r="U21" s="4" t="n"/>
      <c r="AA21" s="3" t="n"/>
      <c r="AB21" s="3" t="n"/>
      <c r="AC21" s="3" t="n"/>
      <c r="AD21" s="3" t="n"/>
      <c r="AE21" s="3" t="n"/>
    </row>
    <row r="22">
      <c r="A22" s="3" t="n"/>
      <c r="B22" s="4" t="n"/>
      <c r="Q22" s="6" t="n"/>
      <c r="R22" s="6" t="n"/>
      <c r="S22" s="6" t="n"/>
      <c r="U22" s="4" t="n"/>
      <c r="AA22" s="3" t="n"/>
      <c r="AB22" s="3" t="n"/>
      <c r="AC22" s="3" t="n"/>
      <c r="AD22" s="3" t="n"/>
      <c r="AE22" s="3" t="n"/>
    </row>
    <row r="23">
      <c r="A23" s="3" t="n"/>
      <c r="B23" s="4" t="n"/>
      <c r="Q23" s="6" t="n"/>
      <c r="R23" s="6" t="n"/>
      <c r="S23" s="6" t="n"/>
      <c r="U23" s="4" t="n"/>
      <c r="AA23" s="3" t="n"/>
      <c r="AB23" s="3" t="n"/>
      <c r="AC23" s="3" t="n"/>
      <c r="AD23" s="3" t="n"/>
      <c r="AE23" s="3" t="n"/>
    </row>
    <row r="24">
      <c r="A24" s="3" t="n"/>
      <c r="B24" s="4" t="n"/>
      <c r="Q24" s="6" t="n"/>
      <c r="R24" s="6" t="n"/>
      <c r="S24" s="6" t="n"/>
      <c r="U24" s="4" t="n"/>
      <c r="AA24" s="3" t="n"/>
      <c r="AB24" s="3" t="n"/>
      <c r="AC24" s="3" t="n"/>
      <c r="AD24" s="3" t="n"/>
      <c r="AE24" s="3" t="n"/>
    </row>
    <row r="25">
      <c r="A25" s="3" t="n"/>
      <c r="B25" s="4" t="n"/>
      <c r="Q25" s="6" t="n"/>
      <c r="R25" s="6" t="n"/>
      <c r="S25" s="6" t="n"/>
      <c r="U25" s="4" t="n"/>
      <c r="AA25" s="3" t="n"/>
      <c r="AB25" s="3" t="n"/>
      <c r="AC25" s="3" t="n"/>
      <c r="AD25" s="3" t="n"/>
      <c r="AE25" s="3" t="n"/>
    </row>
    <row r="26">
      <c r="A26" s="3" t="n"/>
      <c r="B26" s="4" t="n"/>
      <c r="Q26" s="6" t="n"/>
      <c r="R26" s="6" t="n"/>
      <c r="S26" s="6" t="n"/>
      <c r="U26" s="4" t="n"/>
      <c r="AA26" s="3" t="n"/>
      <c r="AB26" s="3" t="n"/>
      <c r="AC26" s="3" t="n"/>
      <c r="AD26" s="3" t="n"/>
      <c r="AE26" s="3" t="n"/>
    </row>
    <row r="27">
      <c r="A27" s="3" t="n"/>
      <c r="B27" s="4" t="n"/>
      <c r="Q27" s="6" t="n"/>
      <c r="R27" s="6" t="n"/>
      <c r="S27" s="6" t="n"/>
      <c r="U27" s="4" t="n"/>
      <c r="AA27" s="3" t="n"/>
      <c r="AB27" s="3" t="n"/>
      <c r="AC27" s="3" t="n"/>
      <c r="AD27" s="3" t="n"/>
      <c r="AE27" s="3" t="n"/>
    </row>
    <row r="28">
      <c r="A28" s="3" t="n"/>
      <c r="B28" s="4" t="n"/>
      <c r="Q28" s="6" t="n"/>
      <c r="R28" s="6" t="n"/>
      <c r="S28" s="6" t="n"/>
      <c r="U28" s="4" t="n"/>
      <c r="AA28" s="3" t="n"/>
      <c r="AB28" s="3" t="n"/>
      <c r="AC28" s="3" t="n"/>
      <c r="AD28" s="3" t="n"/>
      <c r="AE28" s="3" t="n"/>
    </row>
    <row r="29">
      <c r="A29" s="3" t="n"/>
      <c r="B29" s="4" t="n"/>
      <c r="Q29" s="6" t="n"/>
      <c r="R29" s="6" t="n"/>
      <c r="S29" s="6" t="n"/>
      <c r="U29" s="4" t="n"/>
      <c r="AA29" s="3" t="n"/>
      <c r="AB29" s="3" t="n"/>
      <c r="AC29" s="3" t="n"/>
      <c r="AD29" s="3" t="n"/>
      <c r="AE29" s="3" t="n"/>
    </row>
    <row r="30">
      <c r="A30" s="3" t="n"/>
      <c r="B30" s="4" t="n"/>
      <c r="Q30" s="6" t="n"/>
      <c r="R30" s="6" t="n"/>
      <c r="S30" s="6" t="n"/>
      <c r="U30" s="4" t="n"/>
      <c r="AA30" s="3" t="n"/>
      <c r="AB30" s="3" t="n"/>
      <c r="AC30" s="3" t="n"/>
      <c r="AD30" s="3" t="n"/>
      <c r="AE30" s="3" t="n"/>
    </row>
    <row r="31">
      <c r="A31" s="3" t="n"/>
      <c r="B31" s="4" t="n"/>
      <c r="Q31" s="6" t="n"/>
      <c r="R31" s="6" t="n"/>
      <c r="S31" s="6" t="n"/>
      <c r="U31" s="4" t="n"/>
      <c r="AA31" s="3" t="n"/>
      <c r="AB31" s="3" t="n"/>
      <c r="AC31" s="3" t="n"/>
      <c r="AD31" s="3" t="n"/>
      <c r="AE31" s="3" t="n"/>
    </row>
    <row r="32">
      <c r="A32" s="3" t="n"/>
      <c r="B32" s="4" t="n"/>
      <c r="Q32" s="6" t="n"/>
      <c r="R32" s="6" t="n"/>
      <c r="S32" s="6" t="n"/>
      <c r="U32" s="4" t="n"/>
      <c r="AA32" s="3" t="n"/>
      <c r="AB32" s="3" t="n"/>
      <c r="AC32" s="3" t="n"/>
      <c r="AD32" s="3" t="n"/>
      <c r="AE32" s="3" t="n"/>
    </row>
    <row r="33">
      <c r="A33" s="3" t="n"/>
      <c r="B33" s="4" t="n"/>
      <c r="Q33" s="6" t="n"/>
      <c r="R33" s="6" t="n"/>
      <c r="S33" s="6" t="n"/>
      <c r="U33" s="4" t="n"/>
      <c r="AA33" s="3" t="n"/>
      <c r="AB33" s="3" t="n"/>
      <c r="AC33" s="3" t="n"/>
      <c r="AD33" s="3" t="n"/>
      <c r="AE33" s="3" t="n"/>
    </row>
    <row r="34">
      <c r="A34" s="3" t="n"/>
      <c r="B34" s="4" t="n"/>
      <c r="Q34" s="6" t="n"/>
      <c r="R34" s="6" t="n"/>
      <c r="S34" s="6" t="n"/>
      <c r="U34" s="4" t="n"/>
      <c r="AA34" s="3" t="n"/>
      <c r="AB34" s="3" t="n"/>
      <c r="AC34" s="3" t="n"/>
      <c r="AD34" s="3" t="n"/>
      <c r="AE34" s="3" t="n"/>
    </row>
    <row r="35">
      <c r="A35" s="3" t="n"/>
      <c r="B35" s="4" t="n"/>
      <c r="Q35" s="6" t="n"/>
      <c r="R35" s="6" t="n"/>
      <c r="S35" s="6" t="n"/>
      <c r="U35" s="4" t="n"/>
      <c r="AA35" s="3" t="n"/>
      <c r="AB35" s="3" t="n"/>
      <c r="AC35" s="3" t="n"/>
      <c r="AD35" s="3" t="n"/>
      <c r="AE35" s="3" t="n"/>
    </row>
    <row r="36">
      <c r="A36" s="3" t="n"/>
      <c r="B36" s="4" t="n"/>
      <c r="Q36" s="6" t="n"/>
      <c r="R36" s="6" t="n"/>
      <c r="S36" s="6" t="n"/>
      <c r="U36" s="4" t="n"/>
      <c r="AA36" s="3" t="n"/>
      <c r="AB36" s="3" t="n"/>
      <c r="AC36" s="3" t="n"/>
      <c r="AD36" s="3" t="n"/>
      <c r="AE36" s="3" t="n"/>
    </row>
    <row r="37">
      <c r="A37" s="3" t="n"/>
      <c r="B37" s="4" t="n"/>
      <c r="Q37" s="6" t="n"/>
      <c r="R37" s="6" t="n"/>
      <c r="S37" s="6" t="n"/>
      <c r="U37" s="4" t="n"/>
      <c r="AA37" s="3" t="n"/>
      <c r="AB37" s="3" t="n"/>
      <c r="AC37" s="3" t="n"/>
      <c r="AD37" s="3" t="n"/>
      <c r="AE37" s="3" t="n"/>
    </row>
    <row r="38">
      <c r="A38" s="3" t="n"/>
      <c r="B38" s="4" t="n"/>
      <c r="Q38" s="6" t="n"/>
      <c r="R38" s="6" t="n"/>
      <c r="S38" s="6" t="n"/>
      <c r="U38" s="4" t="n"/>
      <c r="AA38" s="3" t="n"/>
      <c r="AB38" s="3" t="n"/>
      <c r="AC38" s="3" t="n"/>
      <c r="AD38" s="3" t="n"/>
      <c r="AE38" s="3" t="n"/>
    </row>
    <row r="39">
      <c r="A39" s="3" t="n"/>
      <c r="B39" s="4" t="n"/>
      <c r="Q39" s="6" t="n"/>
      <c r="R39" s="6" t="n"/>
      <c r="S39" s="6" t="n"/>
      <c r="U39" s="4" t="n"/>
      <c r="AA39" s="3" t="n"/>
      <c r="AB39" s="3" t="n"/>
      <c r="AC39" s="3" t="n"/>
      <c r="AD39" s="3" t="n"/>
      <c r="AE39" s="3" t="n"/>
    </row>
    <row r="40">
      <c r="A40" s="3" t="n"/>
      <c r="B40" s="4" t="n"/>
      <c r="Q40" s="6" t="n"/>
      <c r="R40" s="6" t="n"/>
      <c r="S40" s="6" t="n"/>
      <c r="U40" s="4" t="n"/>
      <c r="AA40" s="3" t="n"/>
      <c r="AB40" s="3" t="n"/>
      <c r="AC40" s="3" t="n"/>
      <c r="AD40" s="3" t="n"/>
      <c r="AE40" s="3" t="n"/>
    </row>
    <row r="41">
      <c r="A41" s="3" t="n"/>
      <c r="B41" s="4" t="n"/>
      <c r="Q41" s="6" t="n"/>
      <c r="R41" s="6" t="n"/>
      <c r="S41" s="6" t="n"/>
      <c r="U41" s="4" t="n"/>
      <c r="AA41" s="3" t="n"/>
      <c r="AB41" s="3" t="n"/>
      <c r="AC41" s="3" t="n"/>
      <c r="AD41" s="3" t="n"/>
      <c r="AE41" s="3" t="n"/>
    </row>
    <row r="42">
      <c r="A42" s="3" t="n"/>
      <c r="B42" s="4" t="n"/>
      <c r="Q42" s="6" t="n"/>
      <c r="R42" s="6" t="n"/>
      <c r="S42" s="6" t="n"/>
      <c r="U42" s="4" t="n"/>
      <c r="AA42" s="3" t="n"/>
      <c r="AB42" s="3" t="n"/>
      <c r="AC42" s="3" t="n"/>
      <c r="AD42" s="3" t="n"/>
      <c r="AE42" s="3" t="n"/>
    </row>
    <row r="43">
      <c r="A43" s="3" t="n"/>
      <c r="B43" s="4" t="n"/>
      <c r="Q43" s="6" t="n"/>
      <c r="R43" s="6" t="n"/>
      <c r="S43" s="6" t="n"/>
      <c r="U43" s="4" t="n"/>
      <c r="AA43" s="3" t="n"/>
      <c r="AB43" s="3" t="n"/>
      <c r="AC43" s="3" t="n"/>
      <c r="AD43" s="3" t="n"/>
      <c r="AE43" s="3" t="n"/>
    </row>
    <row r="44">
      <c r="A44" s="3" t="n"/>
      <c r="B44" s="4" t="n"/>
      <c r="Q44" s="6" t="n"/>
      <c r="R44" s="6" t="n"/>
      <c r="S44" s="6" t="n"/>
      <c r="U44" s="4" t="n"/>
      <c r="AA44" s="3" t="n"/>
      <c r="AB44" s="3" t="n"/>
      <c r="AC44" s="3" t="n"/>
      <c r="AD44" s="3" t="n"/>
      <c r="AE44" s="3" t="n"/>
    </row>
    <row r="45">
      <c r="A45" s="3" t="n"/>
      <c r="B45" s="4" t="n"/>
      <c r="Q45" s="6" t="n"/>
      <c r="R45" s="6" t="n"/>
      <c r="S45" s="6" t="n"/>
      <c r="U45" s="4" t="n"/>
      <c r="AA45" s="3" t="n"/>
      <c r="AB45" s="3" t="n"/>
      <c r="AC45" s="3" t="n"/>
      <c r="AD45" s="3" t="n"/>
      <c r="AE45" s="3" t="n"/>
    </row>
    <row r="46">
      <c r="A46" s="3" t="n"/>
      <c r="B46" s="4" t="n"/>
      <c r="Q46" s="6" t="n"/>
      <c r="R46" s="6" t="n"/>
      <c r="S46" s="6" t="n"/>
      <c r="U46" s="4" t="n"/>
      <c r="AA46" s="3" t="n"/>
      <c r="AB46" s="3" t="n"/>
      <c r="AC46" s="3" t="n"/>
      <c r="AD46" s="3" t="n"/>
      <c r="AE46" s="3" t="n"/>
    </row>
    <row r="47">
      <c r="A47" s="3" t="n"/>
      <c r="B47" s="4" t="n"/>
      <c r="Q47" s="6" t="n"/>
      <c r="R47" s="6" t="n"/>
      <c r="S47" s="6" t="n"/>
      <c r="U47" s="4" t="n"/>
      <c r="AA47" s="3" t="n"/>
      <c r="AB47" s="3" t="n"/>
      <c r="AC47" s="3" t="n"/>
      <c r="AD47" s="3" t="n"/>
      <c r="AE47" s="3" t="n"/>
    </row>
    <row r="48">
      <c r="A48" s="3" t="n"/>
      <c r="B48" s="4" t="n"/>
      <c r="Q48" s="6" t="n"/>
      <c r="R48" s="6" t="n"/>
      <c r="S48" s="6" t="n"/>
      <c r="U48" s="4" t="n"/>
      <c r="AA48" s="3" t="n"/>
      <c r="AB48" s="3" t="n"/>
      <c r="AC48" s="3" t="n"/>
      <c r="AD48" s="3" t="n"/>
      <c r="AE48" s="3" t="n"/>
    </row>
    <row r="49">
      <c r="A49" s="3" t="n"/>
      <c r="B49" s="4" t="n"/>
      <c r="Q49" s="6" t="n"/>
      <c r="R49" s="6" t="n"/>
      <c r="S49" s="6" t="n"/>
      <c r="U49" s="4" t="n"/>
      <c r="AA49" s="3" t="n"/>
      <c r="AB49" s="3" t="n"/>
      <c r="AC49" s="3" t="n"/>
      <c r="AD49" s="3" t="n"/>
      <c r="AE49" s="3" t="n"/>
    </row>
    <row r="50">
      <c r="A50" s="3" t="n"/>
      <c r="B50" s="4" t="n"/>
      <c r="Q50" s="6" t="n"/>
      <c r="R50" s="6" t="n"/>
      <c r="S50" s="6" t="n"/>
      <c r="U50" s="4" t="n"/>
      <c r="AA50" s="3" t="n"/>
      <c r="AB50" s="3" t="n"/>
      <c r="AC50" s="3" t="n"/>
      <c r="AD50" s="3" t="n"/>
      <c r="AE50" s="3" t="n"/>
    </row>
    <row r="51">
      <c r="A51" s="3" t="n"/>
      <c r="B51" s="4" t="n"/>
      <c r="Q51" s="6" t="n"/>
      <c r="R51" s="6" t="n"/>
      <c r="S51" s="6" t="n"/>
      <c r="U51" s="4" t="n"/>
      <c r="AA51" s="3" t="n"/>
      <c r="AB51" s="3" t="n"/>
      <c r="AC51" s="3" t="n"/>
      <c r="AD51" s="3" t="n"/>
      <c r="AE51" s="3" t="n"/>
    </row>
    <row r="52">
      <c r="A52" s="3" t="n"/>
      <c r="B52" s="4" t="n"/>
      <c r="Q52" s="6" t="n"/>
      <c r="R52" s="6" t="n"/>
      <c r="S52" s="6" t="n"/>
      <c r="U52" s="4" t="n"/>
      <c r="AA52" s="3" t="n"/>
      <c r="AB52" s="3" t="n"/>
      <c r="AC52" s="3" t="n"/>
      <c r="AD52" s="3" t="n"/>
      <c r="AE52" s="3" t="n"/>
    </row>
    <row r="53">
      <c r="A53" s="3" t="n"/>
      <c r="B53" s="4" t="n"/>
      <c r="Q53" s="6" t="n"/>
      <c r="R53" s="6" t="n"/>
      <c r="S53" s="6" t="n"/>
      <c r="U53" s="4" t="n"/>
      <c r="AA53" s="3" t="n"/>
      <c r="AB53" s="3" t="n"/>
      <c r="AC53" s="3" t="n"/>
      <c r="AD53" s="3" t="n"/>
      <c r="AE53" s="3" t="n"/>
    </row>
    <row r="54">
      <c r="A54" s="3" t="n"/>
      <c r="B54" s="4" t="n"/>
      <c r="Q54" s="6" t="n"/>
      <c r="R54" s="6" t="n"/>
      <c r="S54" s="6" t="n"/>
      <c r="U54" s="4" t="n"/>
      <c r="AA54" s="3" t="n"/>
      <c r="AB54" s="3" t="n"/>
      <c r="AC54" s="3" t="n"/>
      <c r="AD54" s="3" t="n"/>
      <c r="AE54" s="3" t="n"/>
    </row>
    <row r="55">
      <c r="A55" s="3" t="n"/>
      <c r="B55" s="4" t="n"/>
      <c r="Q55" s="6" t="n"/>
      <c r="R55" s="6" t="n"/>
      <c r="S55" s="6" t="n"/>
      <c r="U55" s="4" t="n"/>
      <c r="AA55" s="3" t="n"/>
      <c r="AB55" s="3" t="n"/>
      <c r="AC55" s="3" t="n"/>
      <c r="AD55" s="3" t="n"/>
      <c r="AE55" s="3" t="n"/>
    </row>
    <row r="56">
      <c r="A56" s="3" t="n"/>
      <c r="B56" s="4" t="n"/>
      <c r="Q56" s="6" t="n"/>
      <c r="R56" s="6" t="n"/>
      <c r="S56" s="6" t="n"/>
      <c r="U56" s="4" t="n"/>
      <c r="AA56" s="3" t="n"/>
      <c r="AB56" s="3" t="n"/>
      <c r="AC56" s="3" t="n"/>
      <c r="AD56" s="3" t="n"/>
      <c r="AE56" s="3" t="n"/>
    </row>
    <row r="57">
      <c r="A57" s="3" t="n"/>
      <c r="B57" s="4" t="n"/>
      <c r="Q57" s="6" t="n"/>
      <c r="R57" s="6" t="n"/>
      <c r="S57" s="6" t="n"/>
      <c r="U57" s="4" t="n"/>
      <c r="AA57" s="3" t="n"/>
      <c r="AB57" s="3" t="n"/>
      <c r="AC57" s="3" t="n"/>
      <c r="AD57" s="3" t="n"/>
      <c r="AE57" s="3" t="n"/>
    </row>
    <row r="58">
      <c r="A58" s="3" t="n"/>
      <c r="B58" s="4" t="n"/>
      <c r="Q58" s="6" t="n"/>
      <c r="R58" s="6" t="n"/>
      <c r="S58" s="6" t="n"/>
      <c r="U58" s="4" t="n"/>
      <c r="AA58" s="3" t="n"/>
      <c r="AB58" s="3" t="n"/>
      <c r="AC58" s="3" t="n"/>
      <c r="AD58" s="3" t="n"/>
      <c r="AE58" s="3" t="n"/>
    </row>
    <row r="59">
      <c r="A59" s="3" t="n"/>
      <c r="B59" s="4" t="n"/>
      <c r="Q59" s="6" t="n"/>
      <c r="R59" s="6" t="n"/>
      <c r="S59" s="6" t="n"/>
      <c r="U59" s="4" t="n"/>
      <c r="AA59" s="3" t="n"/>
      <c r="AB59" s="3" t="n"/>
      <c r="AC59" s="3" t="n"/>
      <c r="AD59" s="3" t="n"/>
      <c r="AE59" s="3" t="n"/>
    </row>
    <row r="60">
      <c r="A60" s="3" t="n"/>
      <c r="B60" s="4" t="n"/>
      <c r="Q60" s="6" t="n"/>
      <c r="R60" s="6" t="n"/>
      <c r="S60" s="6" t="n"/>
      <c r="U60" s="4" t="n"/>
      <c r="AA60" s="3" t="n"/>
      <c r="AB60" s="3" t="n"/>
      <c r="AC60" s="3" t="n"/>
      <c r="AD60" s="3" t="n"/>
      <c r="AE60" s="3" t="n"/>
    </row>
    <row r="61">
      <c r="A61" s="3" t="n"/>
      <c r="B61" s="4" t="n"/>
      <c r="Q61" s="6" t="n"/>
      <c r="R61" s="6" t="n"/>
      <c r="S61" s="6" t="n"/>
      <c r="U61" s="4" t="n"/>
      <c r="AA61" s="3" t="n"/>
      <c r="AB61" s="3" t="n"/>
      <c r="AC61" s="3" t="n"/>
      <c r="AD61" s="3" t="n"/>
      <c r="AE61" s="3" t="n"/>
    </row>
    <row r="62">
      <c r="A62" s="3" t="n"/>
      <c r="B62" s="4" t="n"/>
      <c r="Q62" s="6" t="n"/>
      <c r="R62" s="6" t="n"/>
      <c r="S62" s="6" t="n"/>
      <c r="U62" s="4" t="n"/>
      <c r="AA62" s="3" t="n"/>
      <c r="AB62" s="3" t="n"/>
      <c r="AC62" s="3" t="n"/>
      <c r="AD62" s="3" t="n"/>
      <c r="AE62" s="3" t="n"/>
    </row>
    <row r="63">
      <c r="A63" s="3" t="n"/>
      <c r="B63" s="4" t="n"/>
      <c r="Q63" s="6" t="n"/>
      <c r="R63" s="6" t="n"/>
      <c r="S63" s="6" t="n"/>
      <c r="U63" s="4" t="n"/>
      <c r="AA63" s="3" t="n"/>
      <c r="AB63" s="3" t="n"/>
      <c r="AC63" s="3" t="n"/>
      <c r="AD63" s="3" t="n"/>
      <c r="AE63" s="3" t="n"/>
    </row>
    <row r="64">
      <c r="A64" s="3" t="n"/>
      <c r="B64" s="4" t="n"/>
      <c r="Q64" s="6" t="n"/>
      <c r="R64" s="6" t="n"/>
      <c r="S64" s="6" t="n"/>
      <c r="U64" s="4" t="n"/>
      <c r="AA64" s="3" t="n"/>
      <c r="AB64" s="3" t="n"/>
      <c r="AC64" s="3" t="n"/>
      <c r="AD64" s="3" t="n"/>
      <c r="AE64" s="3" t="n"/>
    </row>
    <row r="65">
      <c r="A65" s="3" t="n"/>
      <c r="B65" s="4" t="n"/>
      <c r="Q65" s="6" t="n"/>
      <c r="R65" s="6" t="n"/>
      <c r="S65" s="6" t="n"/>
      <c r="U65" s="4" t="n"/>
      <c r="AA65" s="3" t="n"/>
      <c r="AB65" s="3" t="n"/>
      <c r="AC65" s="3" t="n"/>
      <c r="AD65" s="3" t="n"/>
      <c r="AE65" s="3" t="n"/>
    </row>
    <row r="66">
      <c r="A66" s="3" t="n"/>
      <c r="B66" s="4" t="n"/>
      <c r="Q66" s="6" t="n"/>
      <c r="R66" s="6" t="n"/>
      <c r="S66" s="6" t="n"/>
      <c r="U66" s="4" t="n"/>
      <c r="AA66" s="3" t="n"/>
      <c r="AB66" s="3" t="n"/>
      <c r="AC66" s="3" t="n"/>
      <c r="AD66" s="3" t="n"/>
      <c r="AE66" s="3" t="n"/>
    </row>
    <row r="67">
      <c r="A67" s="3" t="n"/>
      <c r="B67" s="4" t="n"/>
      <c r="Q67" s="6" t="n"/>
      <c r="R67" s="6" t="n"/>
      <c r="S67" s="6" t="n"/>
      <c r="U67" s="4" t="n"/>
      <c r="AA67" s="3" t="n"/>
      <c r="AB67" s="3" t="n"/>
      <c r="AC67" s="3" t="n"/>
      <c r="AD67" s="3" t="n"/>
      <c r="AE67" s="3" t="n"/>
    </row>
    <row r="68">
      <c r="A68" s="3" t="n"/>
      <c r="B68" s="4" t="n"/>
      <c r="Q68" s="6" t="n"/>
      <c r="R68" s="6" t="n"/>
      <c r="S68" s="6" t="n"/>
      <c r="U68" s="4" t="n"/>
      <c r="AA68" s="3" t="n"/>
      <c r="AB68" s="3" t="n"/>
      <c r="AC68" s="3" t="n"/>
      <c r="AD68" s="3" t="n"/>
      <c r="AE68" s="3" t="n"/>
    </row>
    <row r="69">
      <c r="A69" s="3" t="n"/>
      <c r="B69" s="4" t="n"/>
      <c r="Q69" s="6" t="n"/>
      <c r="R69" s="6" t="n"/>
      <c r="S69" s="6" t="n"/>
      <c r="U69" s="4" t="n"/>
      <c r="AA69" s="3" t="n"/>
      <c r="AB69" s="3" t="n"/>
      <c r="AC69" s="3" t="n"/>
      <c r="AD69" s="3" t="n"/>
      <c r="AE69" s="3" t="n"/>
    </row>
    <row r="70">
      <c r="A70" s="3" t="n"/>
      <c r="B70" s="4" t="n"/>
      <c r="Q70" s="6" t="n"/>
      <c r="R70" s="6" t="n"/>
      <c r="S70" s="6" t="n"/>
      <c r="U70" s="4" t="n"/>
      <c r="AA70" s="3" t="n"/>
      <c r="AB70" s="3" t="n"/>
      <c r="AC70" s="3" t="n"/>
      <c r="AD70" s="3" t="n"/>
      <c r="AE70" s="3" t="n"/>
    </row>
    <row r="71">
      <c r="A71" s="3" t="n"/>
      <c r="B71" s="4" t="n"/>
      <c r="Q71" s="6" t="n"/>
      <c r="R71" s="6" t="n"/>
      <c r="S71" s="6" t="n"/>
      <c r="U71" s="4" t="n"/>
      <c r="AA71" s="3" t="n"/>
      <c r="AB71" s="3" t="n"/>
      <c r="AC71" s="3" t="n"/>
      <c r="AD71" s="3" t="n"/>
      <c r="AE71" s="3" t="n"/>
    </row>
    <row r="72">
      <c r="A72" s="3" t="n"/>
      <c r="B72" s="4" t="n"/>
      <c r="Q72" s="6" t="n"/>
      <c r="R72" s="6" t="n"/>
      <c r="S72" s="6" t="n"/>
      <c r="U72" s="4" t="n"/>
      <c r="AA72" s="3" t="n"/>
      <c r="AB72" s="3" t="n"/>
      <c r="AC72" s="3" t="n"/>
      <c r="AD72" s="3" t="n"/>
      <c r="AE72" s="3" t="n"/>
    </row>
    <row r="73">
      <c r="A73" s="3" t="n"/>
      <c r="B73" s="4" t="n"/>
      <c r="Q73" s="6" t="n"/>
      <c r="R73" s="6" t="n"/>
      <c r="S73" s="6" t="n"/>
      <c r="U73" s="4" t="n"/>
      <c r="AA73" s="3" t="n"/>
      <c r="AB73" s="3" t="n"/>
      <c r="AC73" s="3" t="n"/>
      <c r="AD73" s="3" t="n"/>
      <c r="AE73" s="3" t="n"/>
    </row>
    <row r="74">
      <c r="A74" s="3" t="n"/>
      <c r="B74" s="4" t="n"/>
      <c r="Q74" s="6" t="n"/>
      <c r="R74" s="6" t="n"/>
      <c r="S74" s="6" t="n"/>
      <c r="U74" s="4" t="n"/>
      <c r="AA74" s="3" t="n"/>
      <c r="AB74" s="3" t="n"/>
      <c r="AC74" s="3" t="n"/>
      <c r="AD74" s="3" t="n"/>
      <c r="AE74" s="3" t="n"/>
    </row>
    <row r="75">
      <c r="A75" s="3" t="n"/>
      <c r="B75" s="4" t="n"/>
      <c r="Q75" s="6" t="n"/>
      <c r="R75" s="6" t="n"/>
      <c r="S75" s="6" t="n"/>
      <c r="U75" s="4" t="n"/>
      <c r="AA75" s="3" t="n"/>
      <c r="AB75" s="3" t="n"/>
      <c r="AC75" s="3" t="n"/>
      <c r="AD75" s="3" t="n"/>
      <c r="AE75" s="3" t="n"/>
    </row>
    <row r="76">
      <c r="A76" s="3" t="n"/>
      <c r="B76" s="4" t="n"/>
      <c r="Q76" s="6" t="n"/>
      <c r="R76" s="6" t="n"/>
      <c r="S76" s="6" t="n"/>
      <c r="U76" s="4" t="n"/>
      <c r="AA76" s="3" t="n"/>
      <c r="AB76" s="3" t="n"/>
      <c r="AC76" s="3" t="n"/>
      <c r="AD76" s="3" t="n"/>
      <c r="AE76" s="3" t="n"/>
    </row>
    <row r="77">
      <c r="A77" s="3" t="n"/>
      <c r="B77" s="4" t="n"/>
      <c r="Q77" s="6" t="n"/>
      <c r="R77" s="6" t="n"/>
      <c r="S77" s="6" t="n"/>
      <c r="U77" s="4" t="n"/>
      <c r="AA77" s="3" t="n"/>
      <c r="AB77" s="3" t="n"/>
      <c r="AC77" s="3" t="n"/>
      <c r="AD77" s="3" t="n"/>
      <c r="AE77" s="3" t="n"/>
    </row>
    <row r="78">
      <c r="A78" s="3" t="n"/>
      <c r="B78" s="4" t="n"/>
      <c r="Q78" s="6" t="n"/>
      <c r="R78" s="6" t="n"/>
      <c r="S78" s="6" t="n"/>
      <c r="U78" s="4" t="n"/>
      <c r="AA78" s="3" t="n"/>
      <c r="AB78" s="3" t="n"/>
      <c r="AC78" s="3" t="n"/>
      <c r="AD78" s="3" t="n"/>
      <c r="AE78" s="3" t="n"/>
    </row>
    <row r="79">
      <c r="A79" s="3" t="n"/>
      <c r="B79" s="4" t="n"/>
      <c r="Q79" s="6" t="n"/>
      <c r="R79" s="6" t="n"/>
      <c r="S79" s="6" t="n"/>
      <c r="U79" s="4" t="n"/>
      <c r="AA79" s="3" t="n"/>
      <c r="AB79" s="3" t="n"/>
      <c r="AC79" s="3" t="n"/>
      <c r="AD79" s="3" t="n"/>
      <c r="AE79" s="3" t="n"/>
    </row>
    <row r="80">
      <c r="A80" s="3" t="n"/>
      <c r="B80" s="4" t="n"/>
      <c r="Q80" s="6" t="n"/>
      <c r="R80" s="6" t="n"/>
      <c r="S80" s="6" t="n"/>
      <c r="U80" s="4" t="n"/>
      <c r="AA80" s="3" t="n"/>
      <c r="AB80" s="3" t="n"/>
      <c r="AC80" s="3" t="n"/>
      <c r="AD80" s="3" t="n"/>
      <c r="AE80" s="3" t="n"/>
    </row>
    <row r="81">
      <c r="A81" s="3" t="n"/>
      <c r="B81" s="4" t="n"/>
      <c r="Q81" s="6" t="n"/>
      <c r="R81" s="6" t="n"/>
      <c r="S81" s="6" t="n"/>
      <c r="U81" s="4" t="n"/>
      <c r="AA81" s="3" t="n"/>
      <c r="AB81" s="3" t="n"/>
      <c r="AC81" s="3" t="n"/>
      <c r="AD81" s="3" t="n"/>
      <c r="AE81" s="3" t="n"/>
    </row>
    <row r="82">
      <c r="A82" s="3" t="n"/>
      <c r="B82" s="4" t="n"/>
      <c r="Q82" s="6" t="n"/>
      <c r="R82" s="6" t="n"/>
      <c r="S82" s="6" t="n"/>
      <c r="U82" s="4" t="n"/>
      <c r="AA82" s="3" t="n"/>
      <c r="AB82" s="3" t="n"/>
      <c r="AC82" s="3" t="n"/>
      <c r="AD82" s="3" t="n"/>
      <c r="AE82" s="3" t="n"/>
    </row>
    <row r="83">
      <c r="A83" s="3" t="n"/>
      <c r="B83" s="4" t="n"/>
      <c r="Q83" s="6" t="n"/>
      <c r="R83" s="6" t="n"/>
      <c r="S83" s="6" t="n"/>
      <c r="U83" s="4" t="n"/>
      <c r="AA83" s="3" t="n"/>
      <c r="AB83" s="3" t="n"/>
      <c r="AC83" s="3" t="n"/>
      <c r="AD83" s="3" t="n"/>
      <c r="AE83" s="3" t="n"/>
    </row>
    <row r="84">
      <c r="A84" s="3" t="n"/>
      <c r="B84" s="4" t="n"/>
      <c r="Q84" s="6" t="n"/>
      <c r="R84" s="6" t="n"/>
      <c r="S84" s="6" t="n"/>
      <c r="U84" s="4" t="n"/>
      <c r="AA84" s="3" t="n"/>
      <c r="AB84" s="3" t="n"/>
      <c r="AC84" s="3" t="n"/>
      <c r="AD84" s="3" t="n"/>
      <c r="AE84" s="3" t="n"/>
    </row>
    <row r="85">
      <c r="A85" s="3" t="n"/>
      <c r="B85" s="4" t="n"/>
      <c r="Q85" s="6" t="n"/>
      <c r="R85" s="6" t="n"/>
      <c r="S85" s="6" t="n"/>
      <c r="U85" s="4" t="n"/>
      <c r="AA85" s="3" t="n"/>
      <c r="AB85" s="3" t="n"/>
      <c r="AC85" s="3" t="n"/>
      <c r="AD85" s="3" t="n"/>
      <c r="AE85" s="3" t="n"/>
    </row>
    <row r="86">
      <c r="A86" s="3" t="n"/>
      <c r="B86" s="4" t="n"/>
      <c r="Q86" s="6" t="n"/>
      <c r="R86" s="6" t="n"/>
      <c r="S86" s="6" t="n"/>
      <c r="U86" s="4" t="n"/>
      <c r="AA86" s="3" t="n"/>
      <c r="AB86" s="3" t="n"/>
      <c r="AC86" s="3" t="n"/>
      <c r="AD86" s="3" t="n"/>
      <c r="AE86" s="3" t="n"/>
    </row>
    <row r="87">
      <c r="A87" s="3" t="n"/>
      <c r="B87" s="4" t="n"/>
      <c r="Q87" s="6" t="n"/>
      <c r="R87" s="6" t="n"/>
      <c r="S87" s="6" t="n"/>
      <c r="U87" s="4" t="n"/>
      <c r="AA87" s="3" t="n"/>
      <c r="AB87" s="3" t="n"/>
      <c r="AC87" s="3" t="n"/>
      <c r="AD87" s="3" t="n"/>
      <c r="AE87" s="3" t="n"/>
    </row>
    <row r="88">
      <c r="A88" s="3" t="n"/>
      <c r="B88" s="4" t="n"/>
      <c r="Q88" s="6" t="n"/>
      <c r="R88" s="6" t="n"/>
      <c r="S88" s="6" t="n"/>
      <c r="U88" s="4" t="n"/>
      <c r="AA88" s="3" t="n"/>
      <c r="AB88" s="3" t="n"/>
      <c r="AC88" s="3" t="n"/>
      <c r="AD88" s="3" t="n"/>
      <c r="AE88" s="3" t="n"/>
    </row>
    <row r="89">
      <c r="A89" s="3" t="n"/>
      <c r="B89" s="4" t="n"/>
      <c r="Q89" s="6" t="n"/>
      <c r="R89" s="6" t="n"/>
      <c r="S89" s="6" t="n"/>
      <c r="U89" s="4" t="n"/>
      <c r="AA89" s="3" t="n"/>
      <c r="AB89" s="3" t="n"/>
      <c r="AC89" s="3" t="n"/>
      <c r="AD89" s="3" t="n"/>
      <c r="AE89" s="3" t="n"/>
    </row>
    <row r="90">
      <c r="A90" s="3" t="n"/>
      <c r="B90" s="4" t="n"/>
      <c r="Q90" s="6" t="n"/>
      <c r="R90" s="6" t="n"/>
      <c r="S90" s="6" t="n"/>
      <c r="U90" s="4" t="n"/>
      <c r="AA90" s="3" t="n"/>
      <c r="AB90" s="3" t="n"/>
      <c r="AC90" s="3" t="n"/>
      <c r="AD90" s="3" t="n"/>
      <c r="AE90" s="3" t="n"/>
    </row>
    <row r="91">
      <c r="A91" s="3" t="n"/>
      <c r="B91" s="4" t="n"/>
      <c r="Q91" s="6" t="n"/>
      <c r="R91" s="6" t="n"/>
      <c r="S91" s="6" t="n"/>
      <c r="U91" s="4" t="n"/>
      <c r="AA91" s="3" t="n"/>
      <c r="AB91" s="3" t="n"/>
      <c r="AC91" s="3" t="n"/>
      <c r="AD91" s="3" t="n"/>
      <c r="AE91" s="3" t="n"/>
    </row>
    <row r="92">
      <c r="A92" s="3" t="n"/>
      <c r="B92" s="4" t="n"/>
      <c r="Q92" s="6" t="n"/>
      <c r="R92" s="6" t="n"/>
      <c r="S92" s="6" t="n"/>
      <c r="U92" s="4" t="n"/>
      <c r="AA92" s="3" t="n"/>
      <c r="AB92" s="3" t="n"/>
      <c r="AC92" s="3" t="n"/>
      <c r="AD92" s="3" t="n"/>
      <c r="AE92" s="3" t="n"/>
    </row>
    <row r="93">
      <c r="A93" s="3" t="n"/>
      <c r="B93" s="4" t="n"/>
      <c r="Q93" s="6" t="n"/>
      <c r="R93" s="6" t="n"/>
      <c r="S93" s="6" t="n"/>
      <c r="U93" s="4" t="n"/>
      <c r="AA93" s="3" t="n"/>
      <c r="AB93" s="3" t="n"/>
      <c r="AC93" s="3" t="n"/>
      <c r="AD93" s="3" t="n"/>
      <c r="AE93" s="3" t="n"/>
    </row>
    <row r="94">
      <c r="A94" s="3" t="n"/>
      <c r="B94" s="4" t="n"/>
      <c r="Q94" s="6" t="n"/>
      <c r="R94" s="6" t="n"/>
      <c r="S94" s="6" t="n"/>
      <c r="U94" s="4" t="n"/>
      <c r="AA94" s="3" t="n"/>
      <c r="AB94" s="3" t="n"/>
      <c r="AC94" s="3" t="n"/>
      <c r="AD94" s="3" t="n"/>
      <c r="AE94" s="3" t="n"/>
    </row>
    <row r="95">
      <c r="A95" s="3" t="n"/>
      <c r="B95" s="4" t="n"/>
      <c r="Q95" s="6" t="n"/>
      <c r="R95" s="6" t="n"/>
      <c r="S95" s="6" t="n"/>
      <c r="U95" s="4" t="n"/>
      <c r="AA95" s="3" t="n"/>
      <c r="AB95" s="3" t="n"/>
      <c r="AC95" s="3" t="n"/>
      <c r="AD95" s="3" t="n"/>
      <c r="AE95" s="3" t="n"/>
    </row>
    <row r="96">
      <c r="A96" s="3" t="n"/>
      <c r="B96" s="4" t="n"/>
      <c r="Q96" s="6" t="n"/>
      <c r="R96" s="6" t="n"/>
      <c r="S96" s="6" t="n"/>
      <c r="U96" s="4" t="n"/>
      <c r="AA96" s="3" t="n"/>
      <c r="AB96" s="3" t="n"/>
      <c r="AC96" s="3" t="n"/>
      <c r="AD96" s="3" t="n"/>
      <c r="AE96" s="3" t="n"/>
    </row>
    <row r="97">
      <c r="A97" s="3" t="n"/>
      <c r="B97" s="4" t="n"/>
      <c r="Q97" s="6" t="n"/>
      <c r="R97" s="6" t="n"/>
      <c r="S97" s="6" t="n"/>
      <c r="U97" s="4" t="n"/>
      <c r="AA97" s="3" t="n"/>
      <c r="AB97" s="3" t="n"/>
      <c r="AC97" s="3" t="n"/>
      <c r="AD97" s="3" t="n"/>
      <c r="AE97" s="3" t="n"/>
    </row>
    <row r="98">
      <c r="A98" s="3" t="n"/>
      <c r="B98" s="4" t="n"/>
      <c r="Q98" s="6" t="n"/>
      <c r="R98" s="6" t="n"/>
      <c r="S98" s="6" t="n"/>
      <c r="U98" s="4" t="n"/>
      <c r="AA98" s="3" t="n"/>
      <c r="AB98" s="3" t="n"/>
      <c r="AC98" s="3" t="n"/>
      <c r="AD98" s="3" t="n"/>
      <c r="AE98" s="3" t="n"/>
    </row>
    <row r="99">
      <c r="A99" s="3" t="n"/>
      <c r="B99" s="4" t="n"/>
      <c r="Q99" s="6" t="n"/>
      <c r="R99" s="6" t="n"/>
      <c r="S99" s="6" t="n"/>
      <c r="U99" s="4" t="n"/>
      <c r="AA99" s="3" t="n"/>
      <c r="AB99" s="3" t="n"/>
      <c r="AC99" s="3" t="n"/>
      <c r="AD99" s="3" t="n"/>
      <c r="AE99" s="3" t="n"/>
    </row>
    <row r="100">
      <c r="A100" s="3" t="n"/>
      <c r="B100" s="4" t="n"/>
      <c r="Q100" s="6" t="n"/>
      <c r="R100" s="6" t="n"/>
      <c r="S100" s="6" t="n"/>
      <c r="U100" s="4" t="n"/>
      <c r="AA100" s="3" t="n"/>
      <c r="AB100" s="3" t="n"/>
      <c r="AC100" s="3" t="n"/>
      <c r="AD100" s="3" t="n"/>
      <c r="AE100" s="3" t="n"/>
    </row>
    <row r="101">
      <c r="A101" s="3" t="n"/>
      <c r="B101" s="4" t="n"/>
      <c r="Q101" s="6" t="n"/>
      <c r="R101" s="6" t="n"/>
      <c r="S101" s="6" t="n"/>
      <c r="U101" s="4" t="n"/>
      <c r="AA101" s="3" t="n"/>
      <c r="AB101" s="3" t="n"/>
      <c r="AC101" s="3" t="n"/>
      <c r="AD101" s="3" t="n"/>
      <c r="AE101" s="3" t="n"/>
    </row>
    <row r="102">
      <c r="A102" s="3" t="n"/>
      <c r="B102" s="4" t="n"/>
      <c r="Q102" s="6" t="n"/>
      <c r="R102" s="6" t="n"/>
      <c r="S102" s="6" t="n"/>
      <c r="U102" s="4" t="n"/>
      <c r="AA102" s="3" t="n"/>
      <c r="AB102" s="3" t="n"/>
      <c r="AC102" s="3" t="n"/>
      <c r="AD102" s="3" t="n"/>
      <c r="AE102" s="3" t="n"/>
    </row>
    <row r="103">
      <c r="A103" s="3" t="n"/>
      <c r="B103" s="4" t="n"/>
      <c r="Q103" s="6" t="n"/>
      <c r="R103" s="6" t="n"/>
      <c r="S103" s="6" t="n"/>
      <c r="U103" s="4" t="n"/>
      <c r="AA103" s="3" t="n"/>
      <c r="AB103" s="3" t="n"/>
      <c r="AC103" s="3" t="n"/>
      <c r="AD103" s="3" t="n"/>
      <c r="AE103" s="3" t="n"/>
    </row>
    <row r="104">
      <c r="A104" s="3" t="n"/>
      <c r="B104" s="4" t="n"/>
      <c r="Q104" s="6" t="n"/>
      <c r="R104" s="6" t="n"/>
      <c r="S104" s="6" t="n"/>
      <c r="U104" s="4" t="n"/>
      <c r="AA104" s="3" t="n"/>
      <c r="AB104" s="3" t="n"/>
      <c r="AC104" s="3" t="n"/>
      <c r="AD104" s="3" t="n"/>
      <c r="AE104" s="3" t="n"/>
    </row>
    <row r="105">
      <c r="A105" s="3" t="n"/>
      <c r="B105" s="4" t="n"/>
      <c r="Q105" s="6" t="n"/>
      <c r="R105" s="6" t="n"/>
      <c r="S105" s="6" t="n"/>
      <c r="U105" s="4" t="n"/>
      <c r="AA105" s="3" t="n"/>
      <c r="AB105" s="3" t="n"/>
      <c r="AC105" s="3" t="n"/>
      <c r="AD105" s="3" t="n"/>
      <c r="AE105" s="3" t="n"/>
    </row>
    <row r="106">
      <c r="A106" s="3" t="n"/>
      <c r="B106" s="4" t="n"/>
      <c r="Q106" s="6" t="n"/>
      <c r="R106" s="6" t="n"/>
      <c r="S106" s="6" t="n"/>
      <c r="U106" s="4" t="n"/>
      <c r="AA106" s="3" t="n"/>
      <c r="AB106" s="3" t="n"/>
      <c r="AC106" s="3" t="n"/>
      <c r="AD106" s="3" t="n"/>
      <c r="AE106" s="3" t="n"/>
    </row>
    <row r="107">
      <c r="A107" s="3" t="n"/>
      <c r="B107" s="4" t="n"/>
      <c r="Q107" s="6" t="n"/>
      <c r="R107" s="6" t="n"/>
      <c r="S107" s="6" t="n"/>
      <c r="U107" s="4" t="n"/>
      <c r="AA107" s="3" t="n"/>
      <c r="AB107" s="3" t="n"/>
      <c r="AC107" s="3" t="n"/>
      <c r="AD107" s="3" t="n"/>
      <c r="AE107" s="3" t="n"/>
    </row>
    <row r="108">
      <c r="A108" s="3" t="n"/>
      <c r="B108" s="4" t="n"/>
      <c r="Q108" s="6" t="n"/>
      <c r="R108" s="6" t="n"/>
      <c r="S108" s="6" t="n"/>
      <c r="U108" s="4" t="n"/>
      <c r="AA108" s="3" t="n"/>
      <c r="AB108" s="3" t="n"/>
      <c r="AC108" s="3" t="n"/>
      <c r="AD108" s="3" t="n"/>
      <c r="AE108" s="3" t="n"/>
    </row>
    <row r="109">
      <c r="A109" s="3" t="n"/>
      <c r="B109" s="4" t="n"/>
      <c r="Q109" s="6" t="n"/>
      <c r="R109" s="6" t="n"/>
      <c r="S109" s="6" t="n"/>
      <c r="U109" s="4" t="n"/>
      <c r="AA109" s="3" t="n"/>
      <c r="AB109" s="3" t="n"/>
      <c r="AC109" s="3" t="n"/>
      <c r="AD109" s="3" t="n"/>
      <c r="AE109" s="3" t="n"/>
    </row>
    <row r="110">
      <c r="A110" s="3" t="n"/>
      <c r="B110" s="4" t="n"/>
      <c r="Q110" s="6" t="n"/>
      <c r="R110" s="6" t="n"/>
      <c r="S110" s="6" t="n"/>
      <c r="U110" s="4" t="n"/>
      <c r="AA110" s="3" t="n"/>
      <c r="AB110" s="3" t="n"/>
      <c r="AC110" s="3" t="n"/>
      <c r="AD110" s="3" t="n"/>
      <c r="AE110" s="3" t="n"/>
    </row>
    <row r="111">
      <c r="A111" s="3" t="n"/>
      <c r="B111" s="4" t="n"/>
      <c r="Q111" s="6" t="n"/>
      <c r="R111" s="6" t="n"/>
      <c r="S111" s="6" t="n"/>
      <c r="U111" s="4" t="n"/>
      <c r="AA111" s="3" t="n"/>
      <c r="AB111" s="3" t="n"/>
      <c r="AC111" s="3" t="n"/>
      <c r="AD111" s="3" t="n"/>
      <c r="AE111" s="3" t="n"/>
    </row>
    <row r="112">
      <c r="A112" s="3" t="n"/>
      <c r="B112" s="4" t="n"/>
      <c r="Q112" s="6" t="n"/>
      <c r="R112" s="6" t="n"/>
      <c r="S112" s="6" t="n"/>
      <c r="U112" s="4" t="n"/>
      <c r="AA112" s="3" t="n"/>
      <c r="AB112" s="3" t="n"/>
      <c r="AC112" s="3" t="n"/>
      <c r="AD112" s="3" t="n"/>
      <c r="AE112" s="3" t="n"/>
    </row>
    <row r="113">
      <c r="A113" s="3" t="n"/>
      <c r="B113" s="4" t="n"/>
      <c r="Q113" s="6" t="n"/>
      <c r="R113" s="6" t="n"/>
      <c r="S113" s="6" t="n"/>
      <c r="U113" s="4" t="n"/>
      <c r="AA113" s="3" t="n"/>
      <c r="AB113" s="3" t="n"/>
      <c r="AC113" s="3" t="n"/>
      <c r="AD113" s="3" t="n"/>
      <c r="AE113" s="3" t="n"/>
    </row>
    <row r="114">
      <c r="A114" s="3" t="n"/>
      <c r="B114" s="4" t="n"/>
      <c r="Q114" s="6" t="n"/>
      <c r="R114" s="6" t="n"/>
      <c r="S114" s="6" t="n"/>
      <c r="U114" s="4" t="n"/>
      <c r="AA114" s="3" t="n"/>
      <c r="AB114" s="3" t="n"/>
      <c r="AC114" s="3" t="n"/>
      <c r="AD114" s="3" t="n"/>
      <c r="AE114" s="3" t="n"/>
    </row>
    <row r="115">
      <c r="A115" s="3" t="n"/>
      <c r="B115" s="4" t="n"/>
      <c r="Q115" s="6" t="n"/>
      <c r="R115" s="6" t="n"/>
      <c r="S115" s="6" t="n"/>
      <c r="U115" s="4" t="n"/>
      <c r="AA115" s="3" t="n"/>
      <c r="AB115" s="3" t="n"/>
      <c r="AC115" s="3" t="n"/>
      <c r="AD115" s="3" t="n"/>
      <c r="AE115" s="3" t="n"/>
    </row>
    <row r="116">
      <c r="A116" s="3" t="n"/>
      <c r="B116" s="4" t="n"/>
      <c r="Q116" s="6" t="n"/>
      <c r="R116" s="6" t="n"/>
      <c r="S116" s="6" t="n"/>
      <c r="U116" s="4" t="n"/>
      <c r="AA116" s="3" t="n"/>
      <c r="AB116" s="3" t="n"/>
      <c r="AC116" s="3" t="n"/>
      <c r="AD116" s="3" t="n"/>
      <c r="AE116" s="3" t="n"/>
    </row>
    <row r="117">
      <c r="A117" s="3" t="n"/>
      <c r="B117" s="4" t="n"/>
      <c r="Q117" s="6" t="n"/>
      <c r="R117" s="6" t="n"/>
      <c r="S117" s="6" t="n"/>
      <c r="U117" s="4" t="n"/>
      <c r="AA117" s="3" t="n"/>
      <c r="AB117" s="3" t="n"/>
      <c r="AC117" s="3" t="n"/>
      <c r="AD117" s="3" t="n"/>
      <c r="AE117" s="3" t="n"/>
    </row>
    <row r="118">
      <c r="A118" s="3" t="n"/>
      <c r="B118" s="4" t="n"/>
      <c r="Q118" s="6" t="n"/>
      <c r="R118" s="6" t="n"/>
      <c r="S118" s="6" t="n"/>
      <c r="U118" s="4" t="n"/>
      <c r="AA118" s="3" t="n"/>
      <c r="AB118" s="3" t="n"/>
      <c r="AC118" s="3" t="n"/>
      <c r="AD118" s="3" t="n"/>
      <c r="AE118" s="3" t="n"/>
    </row>
    <row r="119">
      <c r="A119" s="3" t="n"/>
      <c r="B119" s="4" t="n"/>
      <c r="Q119" s="6" t="n"/>
      <c r="R119" s="6" t="n"/>
      <c r="S119" s="6" t="n"/>
      <c r="U119" s="4" t="n"/>
      <c r="AA119" s="3" t="n"/>
      <c r="AB119" s="3" t="n"/>
      <c r="AC119" s="3" t="n"/>
      <c r="AD119" s="3" t="n"/>
      <c r="AE119" s="3" t="n"/>
    </row>
    <row r="120">
      <c r="A120" s="3" t="n"/>
      <c r="B120" s="4" t="n"/>
      <c r="Q120" s="6" t="n"/>
      <c r="R120" s="6" t="n"/>
      <c r="S120" s="6" t="n"/>
      <c r="U120" s="4" t="n"/>
      <c r="AA120" s="3" t="n"/>
      <c r="AB120" s="3" t="n"/>
      <c r="AC120" s="3" t="n"/>
      <c r="AD120" s="3" t="n"/>
      <c r="AE120" s="3" t="n"/>
    </row>
    <row r="121">
      <c r="A121" s="3" t="n"/>
      <c r="B121" s="4" t="n"/>
      <c r="Q121" s="6" t="n"/>
      <c r="R121" s="6" t="n"/>
      <c r="S121" s="6" t="n"/>
      <c r="U121" s="4" t="n"/>
      <c r="AA121" s="3" t="n"/>
      <c r="AB121" s="3" t="n"/>
      <c r="AC121" s="3" t="n"/>
      <c r="AD121" s="3" t="n"/>
      <c r="AE121" s="3" t="n"/>
    </row>
    <row r="122">
      <c r="A122" s="3" t="n"/>
      <c r="B122" s="4" t="n"/>
      <c r="Q122" s="6" t="n"/>
      <c r="R122" s="6" t="n"/>
      <c r="S122" s="6" t="n"/>
      <c r="U122" s="4" t="n"/>
      <c r="AA122" s="3" t="n"/>
      <c r="AB122" s="3" t="n"/>
      <c r="AC122" s="3" t="n"/>
      <c r="AD122" s="3" t="n"/>
      <c r="AE122" s="3" t="n"/>
    </row>
    <row r="123">
      <c r="A123" s="3" t="n"/>
      <c r="B123" s="4" t="n"/>
      <c r="Q123" s="6" t="n"/>
      <c r="R123" s="6" t="n"/>
      <c r="S123" s="6" t="n"/>
      <c r="U123" s="4" t="n"/>
      <c r="AA123" s="3" t="n"/>
      <c r="AB123" s="3" t="n"/>
      <c r="AC123" s="3" t="n"/>
      <c r="AD123" s="3" t="n"/>
      <c r="AE123" s="3" t="n"/>
    </row>
    <row r="124">
      <c r="A124" s="3" t="n"/>
      <c r="B124" s="4" t="n"/>
      <c r="Q124" s="6" t="n"/>
      <c r="R124" s="6" t="n"/>
      <c r="S124" s="6" t="n"/>
      <c r="U124" s="4" t="n"/>
      <c r="AA124" s="3" t="n"/>
      <c r="AB124" s="3" t="n"/>
      <c r="AC124" s="3" t="n"/>
      <c r="AD124" s="3" t="n"/>
      <c r="AE124" s="3" t="n"/>
    </row>
    <row r="125">
      <c r="A125" s="3" t="n"/>
      <c r="B125" s="4" t="n"/>
      <c r="Q125" s="6" t="n"/>
      <c r="R125" s="6" t="n"/>
      <c r="S125" s="6" t="n"/>
      <c r="U125" s="4" t="n"/>
      <c r="AA125" s="3" t="n"/>
      <c r="AB125" s="3" t="n"/>
      <c r="AC125" s="3" t="n"/>
      <c r="AD125" s="3" t="n"/>
      <c r="AE125" s="3" t="n"/>
    </row>
    <row r="126">
      <c r="A126" s="3" t="n"/>
      <c r="B126" s="4" t="n"/>
      <c r="Q126" s="6" t="n"/>
      <c r="R126" s="6" t="n"/>
      <c r="S126" s="6" t="n"/>
      <c r="U126" s="4" t="n"/>
      <c r="AA126" s="3" t="n"/>
      <c r="AB126" s="3" t="n"/>
      <c r="AC126" s="3" t="n"/>
      <c r="AD126" s="3" t="n"/>
      <c r="AE126" s="3" t="n"/>
    </row>
    <row r="127">
      <c r="A127" s="3" t="n"/>
      <c r="B127" s="4" t="n"/>
      <c r="Q127" s="6" t="n"/>
      <c r="R127" s="6" t="n"/>
      <c r="S127" s="6" t="n"/>
      <c r="U127" s="4" t="n"/>
      <c r="AA127" s="3" t="n"/>
      <c r="AB127" s="3" t="n"/>
      <c r="AC127" s="3" t="n"/>
      <c r="AD127" s="3" t="n"/>
      <c r="AE127" s="3" t="n"/>
    </row>
    <row r="128">
      <c r="A128" s="3" t="n"/>
      <c r="B128" s="4" t="n"/>
      <c r="Q128" s="6" t="n"/>
      <c r="R128" s="6" t="n"/>
      <c r="S128" s="6" t="n"/>
      <c r="U128" s="4" t="n"/>
      <c r="AA128" s="3" t="n"/>
      <c r="AB128" s="3" t="n"/>
      <c r="AC128" s="3" t="n"/>
      <c r="AD128" s="3" t="n"/>
      <c r="AE128" s="3" t="n"/>
    </row>
    <row r="129">
      <c r="A129" s="3" t="n"/>
      <c r="B129" s="4" t="n"/>
      <c r="Q129" s="6" t="n"/>
      <c r="R129" s="6" t="n"/>
      <c r="S129" s="6" t="n"/>
      <c r="U129" s="4" t="n"/>
      <c r="AA129" s="3" t="n"/>
      <c r="AB129" s="3" t="n"/>
      <c r="AC129" s="3" t="n"/>
      <c r="AD129" s="3" t="n"/>
      <c r="AE129" s="3" t="n"/>
    </row>
    <row r="130">
      <c r="A130" s="3" t="n"/>
      <c r="B130" s="4" t="n"/>
      <c r="Q130" s="6" t="n"/>
      <c r="R130" s="6" t="n"/>
      <c r="S130" s="6" t="n"/>
      <c r="U130" s="4" t="n"/>
      <c r="AA130" s="3" t="n"/>
      <c r="AB130" s="3" t="n"/>
      <c r="AC130" s="3" t="n"/>
      <c r="AD130" s="3" t="n"/>
      <c r="AE130" s="3" t="n"/>
    </row>
    <row r="131">
      <c r="A131" s="3" t="n"/>
      <c r="B131" s="4" t="n"/>
      <c r="Q131" s="6" t="n"/>
      <c r="R131" s="6" t="n"/>
      <c r="S131" s="6" t="n"/>
      <c r="U131" s="4" t="n"/>
      <c r="AA131" s="3" t="n"/>
      <c r="AB131" s="3" t="n"/>
      <c r="AC131" s="3" t="n"/>
      <c r="AD131" s="3" t="n"/>
      <c r="AE131" s="3" t="n"/>
    </row>
    <row r="132">
      <c r="A132" s="3" t="n"/>
      <c r="B132" s="4" t="n"/>
      <c r="Q132" s="6" t="n"/>
      <c r="R132" s="6" t="n"/>
      <c r="S132" s="6" t="n"/>
      <c r="U132" s="4" t="n"/>
      <c r="AA132" s="3" t="n"/>
      <c r="AB132" s="3" t="n"/>
      <c r="AC132" s="3" t="n"/>
      <c r="AD132" s="3" t="n"/>
      <c r="AE132" s="3" t="n"/>
    </row>
    <row r="133">
      <c r="A133" s="3" t="n"/>
      <c r="B133" s="4" t="n"/>
      <c r="Q133" s="6" t="n"/>
      <c r="R133" s="6" t="n"/>
      <c r="S133" s="6" t="n"/>
      <c r="U133" s="4" t="n"/>
      <c r="AA133" s="3" t="n"/>
      <c r="AB133" s="3" t="n"/>
      <c r="AC133" s="3" t="n"/>
      <c r="AD133" s="3" t="n"/>
      <c r="AE133" s="3" t="n"/>
    </row>
    <row r="134">
      <c r="A134" s="3" t="n"/>
      <c r="B134" s="4" t="n"/>
      <c r="Q134" s="6" t="n"/>
      <c r="R134" s="6" t="n"/>
      <c r="S134" s="6" t="n"/>
      <c r="U134" s="4" t="n"/>
      <c r="AA134" s="3" t="n"/>
      <c r="AB134" s="3" t="n"/>
      <c r="AC134" s="3" t="n"/>
      <c r="AD134" s="3" t="n"/>
      <c r="AE134" s="3" t="n"/>
    </row>
    <row r="135">
      <c r="A135" s="3" t="n"/>
      <c r="B135" s="4" t="n"/>
      <c r="Q135" s="6" t="n"/>
      <c r="R135" s="6" t="n"/>
      <c r="S135" s="6" t="n"/>
      <c r="U135" s="4" t="n"/>
      <c r="AA135" s="3" t="n"/>
      <c r="AB135" s="3" t="n"/>
      <c r="AC135" s="3" t="n"/>
      <c r="AD135" s="3" t="n"/>
      <c r="AE135" s="3" t="n"/>
    </row>
    <row r="136">
      <c r="A136" s="3" t="n"/>
      <c r="B136" s="4" t="n"/>
      <c r="Q136" s="6" t="n"/>
      <c r="R136" s="6" t="n"/>
      <c r="S136" s="6" t="n"/>
      <c r="U136" s="4" t="n"/>
      <c r="AA136" s="3" t="n"/>
      <c r="AB136" s="3" t="n"/>
      <c r="AC136" s="3" t="n"/>
      <c r="AD136" s="3" t="n"/>
      <c r="AE136" s="3" t="n"/>
    </row>
    <row r="137">
      <c r="A137" s="3" t="n"/>
      <c r="B137" s="4" t="n"/>
      <c r="Q137" s="6" t="n"/>
      <c r="R137" s="6" t="n"/>
      <c r="S137" s="6" t="n"/>
      <c r="U137" s="4" t="n"/>
      <c r="AA137" s="3" t="n"/>
      <c r="AB137" s="3" t="n"/>
      <c r="AC137" s="3" t="n"/>
      <c r="AD137" s="3" t="n"/>
      <c r="AE137" s="3" t="n"/>
    </row>
    <row r="138">
      <c r="A138" s="3" t="n"/>
      <c r="B138" s="4" t="n"/>
      <c r="Q138" s="6" t="n"/>
      <c r="R138" s="6" t="n"/>
      <c r="S138" s="6" t="n"/>
      <c r="U138" s="4" t="n"/>
      <c r="AA138" s="3" t="n"/>
      <c r="AB138" s="3" t="n"/>
      <c r="AC138" s="3" t="n"/>
      <c r="AD138" s="3" t="n"/>
      <c r="AE138" s="3" t="n"/>
    </row>
    <row r="139">
      <c r="A139" s="3" t="n"/>
      <c r="B139" s="4" t="n"/>
      <c r="Q139" s="6" t="n"/>
      <c r="R139" s="6" t="n"/>
      <c r="S139" s="6" t="n"/>
      <c r="U139" s="4" t="n"/>
      <c r="AA139" s="3" t="n"/>
      <c r="AB139" s="3" t="n"/>
      <c r="AC139" s="3" t="n"/>
      <c r="AD139" s="3" t="n"/>
      <c r="AE139" s="3" t="n"/>
    </row>
    <row r="140">
      <c r="A140" s="3" t="n"/>
      <c r="B140" s="4" t="n"/>
      <c r="Q140" s="6" t="n"/>
      <c r="R140" s="6" t="n"/>
      <c r="S140" s="6" t="n"/>
      <c r="U140" s="4" t="n"/>
      <c r="AA140" s="3" t="n"/>
      <c r="AB140" s="3" t="n"/>
      <c r="AC140" s="3" t="n"/>
      <c r="AD140" s="3" t="n"/>
      <c r="AE140" s="3" t="n"/>
    </row>
    <row r="141">
      <c r="A141" s="3" t="n"/>
      <c r="B141" s="4" t="n"/>
      <c r="Q141" s="6" t="n"/>
      <c r="R141" s="6" t="n"/>
      <c r="S141" s="6" t="n"/>
      <c r="U141" s="4" t="n"/>
      <c r="AA141" s="3" t="n"/>
      <c r="AB141" s="3" t="n"/>
      <c r="AC141" s="3" t="n"/>
      <c r="AD141" s="3" t="n"/>
      <c r="AE141" s="3" t="n"/>
    </row>
    <row r="142">
      <c r="A142" s="3" t="n"/>
      <c r="B142" s="4" t="n"/>
      <c r="Q142" s="6" t="n"/>
      <c r="R142" s="6" t="n"/>
      <c r="S142" s="6" t="n"/>
      <c r="U142" s="4" t="n"/>
      <c r="AA142" s="3" t="n"/>
      <c r="AB142" s="3" t="n"/>
      <c r="AC142" s="3" t="n"/>
      <c r="AD142" s="3" t="n"/>
      <c r="AE142" s="3" t="n"/>
    </row>
    <row r="143">
      <c r="A143" s="3" t="n"/>
      <c r="B143" s="4" t="n"/>
      <c r="Q143" s="6" t="n"/>
      <c r="R143" s="6" t="n"/>
      <c r="S143" s="6" t="n"/>
      <c r="U143" s="4" t="n"/>
      <c r="AA143" s="3" t="n"/>
      <c r="AB143" s="3" t="n"/>
      <c r="AC143" s="3" t="n"/>
      <c r="AD143" s="3" t="n"/>
      <c r="AE143" s="3" t="n"/>
    </row>
    <row r="144">
      <c r="A144" s="3" t="n"/>
      <c r="B144" s="4" t="n"/>
      <c r="Q144" s="6" t="n"/>
      <c r="R144" s="6" t="n"/>
      <c r="S144" s="6" t="n"/>
      <c r="U144" s="4" t="n"/>
      <c r="AA144" s="3" t="n"/>
      <c r="AB144" s="3" t="n"/>
      <c r="AC144" s="3" t="n"/>
      <c r="AD144" s="3" t="n"/>
      <c r="AE144" s="3" t="n"/>
    </row>
    <row r="145">
      <c r="A145" s="3" t="n"/>
      <c r="B145" s="4" t="n"/>
      <c r="Q145" s="6" t="n"/>
      <c r="R145" s="6" t="n"/>
      <c r="S145" s="6" t="n"/>
      <c r="U145" s="4" t="n"/>
      <c r="AA145" s="3" t="n"/>
      <c r="AB145" s="3" t="n"/>
      <c r="AC145" s="3" t="n"/>
      <c r="AD145" s="3" t="n"/>
      <c r="AE145" s="3" t="n"/>
    </row>
    <row r="146">
      <c r="A146" s="3" t="n"/>
      <c r="B146" s="4" t="n"/>
      <c r="Q146" s="6" t="n"/>
      <c r="R146" s="6" t="n"/>
      <c r="S146" s="6" t="n"/>
      <c r="U146" s="4" t="n"/>
      <c r="AA146" s="3" t="n"/>
      <c r="AB146" s="3" t="n"/>
      <c r="AC146" s="3" t="n"/>
      <c r="AD146" s="3" t="n"/>
      <c r="AE146" s="3" t="n"/>
    </row>
    <row r="147">
      <c r="A147" s="3" t="n"/>
      <c r="B147" s="4" t="n"/>
      <c r="Q147" s="6" t="n"/>
      <c r="R147" s="6" t="n"/>
      <c r="S147" s="6" t="n"/>
      <c r="U147" s="4" t="n"/>
      <c r="AA147" s="3" t="n"/>
      <c r="AB147" s="3" t="n"/>
      <c r="AC147" s="3" t="n"/>
      <c r="AD147" s="3" t="n"/>
      <c r="AE147" s="3" t="n"/>
    </row>
    <row r="148">
      <c r="A148" s="3" t="n"/>
      <c r="B148" s="4" t="n"/>
      <c r="Q148" s="6" t="n"/>
      <c r="R148" s="6" t="n"/>
      <c r="S148" s="6" t="n"/>
      <c r="U148" s="4" t="n"/>
      <c r="AA148" s="3" t="n"/>
      <c r="AB148" s="3" t="n"/>
      <c r="AC148" s="3" t="n"/>
      <c r="AD148" s="3" t="n"/>
      <c r="AE148" s="3" t="n"/>
    </row>
    <row r="149">
      <c r="A149" s="3" t="n"/>
      <c r="B149" s="4" t="n"/>
      <c r="Q149" s="6" t="n"/>
      <c r="R149" s="6" t="n"/>
      <c r="S149" s="6" t="n"/>
      <c r="U149" s="4" t="n"/>
      <c r="AA149" s="3" t="n"/>
      <c r="AB149" s="3" t="n"/>
      <c r="AC149" s="3" t="n"/>
      <c r="AD149" s="3" t="n"/>
      <c r="AE149" s="3" t="n"/>
    </row>
    <row r="150">
      <c r="A150" s="3" t="n"/>
      <c r="B150" s="4" t="n"/>
      <c r="Q150" s="6" t="n"/>
      <c r="R150" s="6" t="n"/>
      <c r="S150" s="6" t="n"/>
      <c r="U150" s="4" t="n"/>
      <c r="AA150" s="3" t="n"/>
      <c r="AB150" s="3" t="n"/>
      <c r="AC150" s="3" t="n"/>
      <c r="AD150" s="3" t="n"/>
      <c r="AE150" s="3" t="n"/>
    </row>
    <row r="151">
      <c r="A151" s="3" t="n"/>
      <c r="B151" s="4" t="n"/>
      <c r="Q151" s="6" t="n"/>
      <c r="R151" s="6" t="n"/>
      <c r="S151" s="6" t="n"/>
      <c r="U151" s="4" t="n"/>
      <c r="AA151" s="3" t="n"/>
      <c r="AB151" s="3" t="n"/>
      <c r="AC151" s="3" t="n"/>
      <c r="AD151" s="3" t="n"/>
      <c r="AE151" s="3" t="n"/>
    </row>
    <row r="152">
      <c r="A152" s="3" t="n"/>
      <c r="B152" s="4" t="n"/>
      <c r="Q152" s="6" t="n"/>
      <c r="R152" s="6" t="n"/>
      <c r="S152" s="6" t="n"/>
      <c r="U152" s="4" t="n"/>
      <c r="AA152" s="3" t="n"/>
      <c r="AB152" s="3" t="n"/>
      <c r="AC152" s="3" t="n"/>
      <c r="AD152" s="3" t="n"/>
      <c r="AE152" s="3" t="n"/>
    </row>
    <row r="153">
      <c r="A153" s="3" t="n"/>
      <c r="B153" s="4" t="n"/>
      <c r="Q153" s="6" t="n"/>
      <c r="R153" s="6" t="n"/>
      <c r="S153" s="6" t="n"/>
      <c r="U153" s="4" t="n"/>
      <c r="AA153" s="3" t="n"/>
      <c r="AB153" s="3" t="n"/>
      <c r="AC153" s="3" t="n"/>
      <c r="AD153" s="3" t="n"/>
      <c r="AE153" s="3" t="n"/>
    </row>
    <row r="154">
      <c r="A154" s="3" t="n"/>
      <c r="B154" s="4" t="n"/>
      <c r="Q154" s="6" t="n"/>
      <c r="R154" s="6" t="n"/>
      <c r="S154" s="6" t="n"/>
      <c r="U154" s="4" t="n"/>
      <c r="AA154" s="3" t="n"/>
      <c r="AB154" s="3" t="n"/>
      <c r="AC154" s="3" t="n"/>
      <c r="AD154" s="3" t="n"/>
      <c r="AE154" s="3" t="n"/>
    </row>
    <row r="155">
      <c r="A155" s="3" t="n"/>
      <c r="B155" s="4" t="n"/>
      <c r="Q155" s="6" t="n"/>
      <c r="R155" s="6" t="n"/>
      <c r="S155" s="6" t="n"/>
      <c r="U155" s="4" t="n"/>
      <c r="AA155" s="3" t="n"/>
      <c r="AB155" s="3" t="n"/>
      <c r="AC155" s="3" t="n"/>
      <c r="AD155" s="3" t="n"/>
      <c r="AE155" s="3" t="n"/>
    </row>
    <row r="156">
      <c r="A156" s="3" t="n"/>
      <c r="B156" s="4" t="n"/>
      <c r="Q156" s="6" t="n"/>
      <c r="R156" s="6" t="n"/>
      <c r="S156" s="6" t="n"/>
      <c r="U156" s="4" t="n"/>
      <c r="AA156" s="3" t="n"/>
      <c r="AB156" s="3" t="n"/>
      <c r="AC156" s="3" t="n"/>
      <c r="AD156" s="3" t="n"/>
      <c r="AE156" s="3" t="n"/>
    </row>
    <row r="157">
      <c r="A157" s="3" t="n"/>
      <c r="B157" s="4" t="n"/>
      <c r="Q157" s="6" t="n"/>
      <c r="R157" s="6" t="n"/>
      <c r="S157" s="6" t="n"/>
      <c r="U157" s="4" t="n"/>
      <c r="AA157" s="3" t="n"/>
      <c r="AB157" s="3" t="n"/>
      <c r="AC157" s="3" t="n"/>
      <c r="AD157" s="3" t="n"/>
      <c r="AE157" s="3" t="n"/>
    </row>
    <row r="158">
      <c r="A158" s="3" t="n"/>
      <c r="B158" s="4" t="n"/>
      <c r="Q158" s="6" t="n"/>
      <c r="R158" s="6" t="n"/>
      <c r="S158" s="6" t="n"/>
      <c r="U158" s="4" t="n"/>
      <c r="AA158" s="3" t="n"/>
      <c r="AB158" s="3" t="n"/>
      <c r="AC158" s="3" t="n"/>
      <c r="AD158" s="3" t="n"/>
      <c r="AE158" s="3" t="n"/>
    </row>
    <row r="159">
      <c r="A159" s="3" t="n"/>
      <c r="B159" s="4" t="n"/>
      <c r="Q159" s="6" t="n"/>
      <c r="R159" s="6" t="n"/>
      <c r="S159" s="6" t="n"/>
      <c r="U159" s="4" t="n"/>
      <c r="AA159" s="3" t="n"/>
      <c r="AB159" s="3" t="n"/>
      <c r="AC159" s="3" t="n"/>
      <c r="AD159" s="3" t="n"/>
      <c r="AE159" s="3" t="n"/>
    </row>
    <row r="160">
      <c r="A160" s="3" t="n"/>
      <c r="B160" s="4" t="n"/>
      <c r="Q160" s="6" t="n"/>
      <c r="R160" s="6" t="n"/>
      <c r="S160" s="6" t="n"/>
      <c r="U160" s="4" t="n"/>
      <c r="AA160" s="3" t="n"/>
      <c r="AB160" s="3" t="n"/>
      <c r="AC160" s="3" t="n"/>
      <c r="AD160" s="3" t="n"/>
      <c r="AE160" s="3" t="n"/>
    </row>
    <row r="161">
      <c r="A161" s="3" t="n"/>
      <c r="B161" s="4" t="n"/>
      <c r="Q161" s="6" t="n"/>
      <c r="R161" s="6" t="n"/>
      <c r="S161" s="6" t="n"/>
      <c r="U161" s="4" t="n"/>
      <c r="AA161" s="3" t="n"/>
      <c r="AB161" s="3" t="n"/>
      <c r="AC161" s="3" t="n"/>
      <c r="AD161" s="3" t="n"/>
      <c r="AE161" s="3" t="n"/>
    </row>
    <row r="162">
      <c r="A162" s="3" t="n"/>
      <c r="B162" s="4" t="n"/>
      <c r="Q162" s="6" t="n"/>
      <c r="R162" s="6" t="n"/>
      <c r="S162" s="6" t="n"/>
      <c r="U162" s="4" t="n"/>
      <c r="AA162" s="3" t="n"/>
      <c r="AB162" s="3" t="n"/>
      <c r="AC162" s="3" t="n"/>
      <c r="AD162" s="3" t="n"/>
      <c r="AE162" s="3" t="n"/>
    </row>
    <row r="163">
      <c r="A163" s="3" t="n"/>
      <c r="B163" s="4" t="n"/>
      <c r="Q163" s="6" t="n"/>
      <c r="R163" s="6" t="n"/>
      <c r="S163" s="6" t="n"/>
      <c r="U163" s="4" t="n"/>
      <c r="AA163" s="3" t="n"/>
      <c r="AB163" s="3" t="n"/>
      <c r="AC163" s="3" t="n"/>
      <c r="AD163" s="3" t="n"/>
      <c r="AE163" s="3" t="n"/>
    </row>
    <row r="164">
      <c r="A164" s="3" t="n"/>
      <c r="B164" s="4" t="n"/>
      <c r="Q164" s="6" t="n"/>
      <c r="R164" s="6" t="n"/>
      <c r="S164" s="6" t="n"/>
      <c r="U164" s="4" t="n"/>
      <c r="AA164" s="3" t="n"/>
      <c r="AB164" s="3" t="n"/>
      <c r="AC164" s="3" t="n"/>
      <c r="AD164" s="3" t="n"/>
      <c r="AE164" s="3" t="n"/>
    </row>
    <row r="165">
      <c r="A165" s="3" t="n"/>
      <c r="B165" s="4" t="n"/>
      <c r="Q165" s="6" t="n"/>
      <c r="R165" s="6" t="n"/>
      <c r="S165" s="6" t="n"/>
      <c r="U165" s="4" t="n"/>
      <c r="AA165" s="3" t="n"/>
      <c r="AB165" s="3" t="n"/>
      <c r="AC165" s="3" t="n"/>
      <c r="AD165" s="3" t="n"/>
      <c r="AE165" s="3" t="n"/>
    </row>
    <row r="166">
      <c r="A166" s="3" t="n"/>
      <c r="B166" s="4" t="n"/>
      <c r="Q166" s="6" t="n"/>
      <c r="R166" s="6" t="n"/>
      <c r="S166" s="6" t="n"/>
      <c r="U166" s="4" t="n"/>
      <c r="AA166" s="3" t="n"/>
      <c r="AB166" s="3" t="n"/>
      <c r="AC166" s="3" t="n"/>
      <c r="AD166" s="3" t="n"/>
      <c r="AE166" s="3" t="n"/>
    </row>
    <row r="167">
      <c r="A167" s="3" t="n"/>
      <c r="B167" s="4" t="n"/>
      <c r="Q167" s="6" t="n"/>
      <c r="R167" s="6" t="n"/>
      <c r="S167" s="6" t="n"/>
      <c r="U167" s="4" t="n"/>
      <c r="AA167" s="3" t="n"/>
      <c r="AB167" s="3" t="n"/>
      <c r="AC167" s="3" t="n"/>
      <c r="AD167" s="3" t="n"/>
      <c r="AE167" s="3" t="n"/>
    </row>
    <row r="168">
      <c r="A168" s="3" t="n"/>
      <c r="B168" s="4" t="n"/>
      <c r="Q168" s="6" t="n"/>
      <c r="R168" s="6" t="n"/>
      <c r="S168" s="6" t="n"/>
      <c r="U168" s="4" t="n"/>
      <c r="AA168" s="3" t="n"/>
      <c r="AB168" s="3" t="n"/>
      <c r="AC168" s="3" t="n"/>
      <c r="AD168" s="3" t="n"/>
      <c r="AE168" s="3" t="n"/>
    </row>
    <row r="169">
      <c r="A169" s="3" t="n"/>
      <c r="B169" s="4" t="n"/>
      <c r="Q169" s="6" t="n"/>
      <c r="R169" s="6" t="n"/>
      <c r="S169" s="6" t="n"/>
      <c r="U169" s="4" t="n"/>
      <c r="AA169" s="3" t="n"/>
      <c r="AB169" s="3" t="n"/>
      <c r="AC169" s="3" t="n"/>
      <c r="AD169" s="3" t="n"/>
      <c r="AE169" s="3" t="n"/>
    </row>
    <row r="170">
      <c r="A170" s="3" t="n"/>
      <c r="B170" s="4" t="n"/>
      <c r="Q170" s="6" t="n"/>
      <c r="R170" s="6" t="n"/>
      <c r="S170" s="6" t="n"/>
      <c r="U170" s="4" t="n"/>
      <c r="AA170" s="3" t="n"/>
      <c r="AB170" s="3" t="n"/>
      <c r="AC170" s="3" t="n"/>
      <c r="AD170" s="3" t="n"/>
      <c r="AE170" s="3" t="n"/>
    </row>
    <row r="171">
      <c r="A171" s="3" t="n"/>
      <c r="B171" s="4" t="n"/>
      <c r="Q171" s="6" t="n"/>
      <c r="R171" s="6" t="n"/>
      <c r="S171" s="6" t="n"/>
      <c r="U171" s="4" t="n"/>
      <c r="AA171" s="3" t="n"/>
      <c r="AB171" s="3" t="n"/>
      <c r="AC171" s="3" t="n"/>
      <c r="AD171" s="3" t="n"/>
      <c r="AE171" s="3" t="n"/>
    </row>
    <row r="172">
      <c r="A172" s="3" t="n"/>
      <c r="B172" s="4" t="n"/>
      <c r="Q172" s="6" t="n"/>
      <c r="R172" s="6" t="n"/>
      <c r="S172" s="6" t="n"/>
      <c r="U172" s="4" t="n"/>
      <c r="AA172" s="3" t="n"/>
      <c r="AB172" s="3" t="n"/>
      <c r="AC172" s="3" t="n"/>
      <c r="AD172" s="3" t="n"/>
      <c r="AE172" s="3" t="n"/>
    </row>
    <row r="173">
      <c r="A173" s="3" t="n"/>
      <c r="B173" s="4" t="n"/>
      <c r="Q173" s="6" t="n"/>
      <c r="R173" s="6" t="n"/>
      <c r="S173" s="6" t="n"/>
      <c r="U173" s="4" t="n"/>
      <c r="AA173" s="3" t="n"/>
      <c r="AB173" s="3" t="n"/>
      <c r="AC173" s="3" t="n"/>
      <c r="AD173" s="3" t="n"/>
      <c r="AE173" s="3" t="n"/>
    </row>
    <row r="174">
      <c r="A174" s="3" t="n"/>
      <c r="B174" s="4" t="n"/>
      <c r="Q174" s="6" t="n"/>
      <c r="R174" s="6" t="n"/>
      <c r="S174" s="6" t="n"/>
      <c r="U174" s="4" t="n"/>
      <c r="AA174" s="3" t="n"/>
      <c r="AB174" s="3" t="n"/>
      <c r="AC174" s="3" t="n"/>
      <c r="AD174" s="3" t="n"/>
      <c r="AE174" s="3" t="n"/>
    </row>
    <row r="175">
      <c r="A175" s="3" t="n"/>
      <c r="B175" s="4" t="n"/>
      <c r="Q175" s="6" t="n"/>
      <c r="R175" s="6" t="n"/>
      <c r="S175" s="6" t="n"/>
      <c r="U175" s="4" t="n"/>
      <c r="AA175" s="3" t="n"/>
      <c r="AB175" s="3" t="n"/>
      <c r="AC175" s="3" t="n"/>
      <c r="AD175" s="3" t="n"/>
      <c r="AE175" s="3" t="n"/>
    </row>
    <row r="176">
      <c r="A176" s="3" t="n"/>
      <c r="B176" s="4" t="n"/>
      <c r="Q176" s="6" t="n"/>
      <c r="R176" s="6" t="n"/>
      <c r="S176" s="6" t="n"/>
      <c r="U176" s="4" t="n"/>
      <c r="AA176" s="3" t="n"/>
      <c r="AB176" s="3" t="n"/>
      <c r="AC176" s="3" t="n"/>
      <c r="AD176" s="3" t="n"/>
      <c r="AE176" s="3" t="n"/>
    </row>
    <row r="177">
      <c r="A177" s="3" t="n"/>
      <c r="B177" s="4" t="n"/>
      <c r="Q177" s="6" t="n"/>
      <c r="R177" s="6" t="n"/>
      <c r="S177" s="6" t="n"/>
      <c r="U177" s="4" t="n"/>
      <c r="AA177" s="3" t="n"/>
      <c r="AB177" s="3" t="n"/>
      <c r="AC177" s="3" t="n"/>
      <c r="AD177" s="3" t="n"/>
      <c r="AE177" s="3" t="n"/>
    </row>
    <row r="178">
      <c r="A178" s="3" t="n"/>
      <c r="B178" s="4" t="n"/>
      <c r="Q178" s="6" t="n"/>
      <c r="R178" s="6" t="n"/>
      <c r="S178" s="6" t="n"/>
      <c r="U178" s="4" t="n"/>
      <c r="AA178" s="3" t="n"/>
      <c r="AB178" s="3" t="n"/>
      <c r="AC178" s="3" t="n"/>
      <c r="AD178" s="3" t="n"/>
      <c r="AE178" s="3" t="n"/>
    </row>
    <row r="179">
      <c r="A179" s="3" t="n"/>
      <c r="B179" s="4" t="n"/>
      <c r="Q179" s="6" t="n"/>
      <c r="R179" s="6" t="n"/>
      <c r="S179" s="6" t="n"/>
      <c r="U179" s="4" t="n"/>
      <c r="AA179" s="3" t="n"/>
      <c r="AB179" s="3" t="n"/>
      <c r="AC179" s="3" t="n"/>
      <c r="AD179" s="3" t="n"/>
      <c r="AE179" s="3" t="n"/>
    </row>
    <row r="180">
      <c r="A180" s="3" t="n"/>
      <c r="B180" s="4" t="n"/>
      <c r="Q180" s="6" t="n"/>
      <c r="R180" s="6" t="n"/>
      <c r="S180" s="6" t="n"/>
      <c r="U180" s="4" t="n"/>
      <c r="AA180" s="3" t="n"/>
      <c r="AB180" s="3" t="n"/>
      <c r="AC180" s="3" t="n"/>
      <c r="AD180" s="3" t="n"/>
      <c r="AE180" s="3" t="n"/>
    </row>
    <row r="181">
      <c r="A181" s="3" t="n"/>
      <c r="B181" s="4" t="n"/>
      <c r="Q181" s="6" t="n"/>
      <c r="R181" s="6" t="n"/>
      <c r="S181" s="6" t="n"/>
      <c r="U181" s="4" t="n"/>
      <c r="AA181" s="3" t="n"/>
      <c r="AB181" s="3" t="n"/>
      <c r="AC181" s="3" t="n"/>
      <c r="AD181" s="3" t="n"/>
      <c r="AE181" s="3" t="n"/>
    </row>
    <row r="182">
      <c r="A182" s="3" t="n"/>
      <c r="B182" s="4" t="n"/>
      <c r="Q182" s="6" t="n"/>
      <c r="R182" s="6" t="n"/>
      <c r="S182" s="6" t="n"/>
      <c r="U182" s="4" t="n"/>
      <c r="AA182" s="3" t="n"/>
      <c r="AB182" s="3" t="n"/>
      <c r="AC182" s="3" t="n"/>
      <c r="AD182" s="3" t="n"/>
      <c r="AE182" s="3" t="n"/>
    </row>
    <row r="183">
      <c r="A183" s="3" t="n"/>
      <c r="B183" s="4" t="n"/>
      <c r="Q183" s="6" t="n"/>
      <c r="R183" s="6" t="n"/>
      <c r="S183" s="6" t="n"/>
      <c r="U183" s="4" t="n"/>
      <c r="AA183" s="3" t="n"/>
      <c r="AB183" s="3" t="n"/>
      <c r="AC183" s="3" t="n"/>
      <c r="AD183" s="3" t="n"/>
      <c r="AE183" s="3" t="n"/>
    </row>
    <row r="184">
      <c r="A184" s="3" t="n"/>
      <c r="B184" s="4" t="n"/>
      <c r="Q184" s="6" t="n"/>
      <c r="R184" s="6" t="n"/>
      <c r="S184" s="6" t="n"/>
      <c r="U184" s="4" t="n"/>
      <c r="AA184" s="3" t="n"/>
      <c r="AB184" s="3" t="n"/>
      <c r="AC184" s="3" t="n"/>
      <c r="AD184" s="3" t="n"/>
      <c r="AE184" s="3" t="n"/>
    </row>
    <row r="185">
      <c r="A185" s="3" t="n"/>
      <c r="B185" s="4" t="n"/>
      <c r="Q185" s="6" t="n"/>
      <c r="R185" s="6" t="n"/>
      <c r="S185" s="6" t="n"/>
      <c r="U185" s="4" t="n"/>
      <c r="AA185" s="3" t="n"/>
      <c r="AB185" s="3" t="n"/>
      <c r="AC185" s="3" t="n"/>
      <c r="AD185" s="3" t="n"/>
      <c r="AE185" s="3" t="n"/>
    </row>
    <row r="186">
      <c r="A186" s="3" t="n"/>
      <c r="B186" s="4" t="n"/>
      <c r="Q186" s="6" t="n"/>
      <c r="R186" s="6" t="n"/>
      <c r="S186" s="6" t="n"/>
      <c r="U186" s="4" t="n"/>
      <c r="AA186" s="3" t="n"/>
      <c r="AB186" s="3" t="n"/>
      <c r="AC186" s="3" t="n"/>
      <c r="AD186" s="3" t="n"/>
      <c r="AE186" s="3" t="n"/>
    </row>
    <row r="187">
      <c r="A187" s="3" t="n"/>
      <c r="B187" s="4" t="n"/>
      <c r="Q187" s="6" t="n"/>
      <c r="R187" s="6" t="n"/>
      <c r="S187" s="6" t="n"/>
      <c r="U187" s="4" t="n"/>
      <c r="AA187" s="3" t="n"/>
      <c r="AB187" s="3" t="n"/>
      <c r="AC187" s="3" t="n"/>
      <c r="AD187" s="3" t="n"/>
      <c r="AE187" s="3" t="n"/>
    </row>
    <row r="188">
      <c r="A188" s="3" t="n"/>
      <c r="B188" s="4" t="n"/>
      <c r="Q188" s="6" t="n"/>
      <c r="R188" s="6" t="n"/>
      <c r="S188" s="6" t="n"/>
      <c r="U188" s="4" t="n"/>
      <c r="AA188" s="3" t="n"/>
      <c r="AB188" s="3" t="n"/>
      <c r="AC188" s="3" t="n"/>
      <c r="AD188" s="3" t="n"/>
      <c r="AE188" s="3" t="n"/>
    </row>
    <row r="189">
      <c r="A189" s="3" t="n"/>
      <c r="B189" s="4" t="n"/>
      <c r="Q189" s="6" t="n"/>
      <c r="R189" s="6" t="n"/>
      <c r="S189" s="6" t="n"/>
      <c r="U189" s="4" t="n"/>
      <c r="AA189" s="3" t="n"/>
      <c r="AB189" s="3" t="n"/>
      <c r="AC189" s="3" t="n"/>
      <c r="AD189" s="3" t="n"/>
      <c r="AE189" s="3" t="n"/>
    </row>
    <row r="190">
      <c r="A190" s="3" t="n"/>
      <c r="B190" s="4" t="n"/>
      <c r="Q190" s="6" t="n"/>
      <c r="R190" s="6" t="n"/>
      <c r="S190" s="6" t="n"/>
      <c r="U190" s="4" t="n"/>
      <c r="AA190" s="3" t="n"/>
      <c r="AB190" s="3" t="n"/>
      <c r="AC190" s="3" t="n"/>
      <c r="AD190" s="3" t="n"/>
      <c r="AE190" s="3" t="n"/>
    </row>
    <row r="191">
      <c r="A191" s="3" t="n"/>
      <c r="B191" s="4" t="n"/>
      <c r="Q191" s="6" t="n"/>
      <c r="R191" s="6" t="n"/>
      <c r="S191" s="6" t="n"/>
      <c r="U191" s="4" t="n"/>
      <c r="AA191" s="3" t="n"/>
      <c r="AB191" s="3" t="n"/>
      <c r="AC191" s="3" t="n"/>
      <c r="AD191" s="3" t="n"/>
      <c r="AE191" s="3" t="n"/>
    </row>
    <row r="192">
      <c r="A192" s="3" t="n"/>
      <c r="B192" s="4" t="n"/>
      <c r="Q192" s="6" t="n"/>
      <c r="R192" s="6" t="n"/>
      <c r="S192" s="6" t="n"/>
      <c r="U192" s="4" t="n"/>
      <c r="AA192" s="3" t="n"/>
      <c r="AB192" s="3" t="n"/>
      <c r="AC192" s="3" t="n"/>
      <c r="AD192" s="3" t="n"/>
      <c r="AE192" s="3" t="n"/>
    </row>
    <row r="193">
      <c r="A193" s="3" t="n"/>
      <c r="B193" s="4" t="n"/>
      <c r="Q193" s="6" t="n"/>
      <c r="R193" s="6" t="n"/>
      <c r="S193" s="6" t="n"/>
      <c r="U193" s="4" t="n"/>
      <c r="AA193" s="3" t="n"/>
      <c r="AB193" s="3" t="n"/>
      <c r="AC193" s="3" t="n"/>
      <c r="AD193" s="3" t="n"/>
      <c r="AE193" s="3" t="n"/>
    </row>
    <row r="194">
      <c r="A194" s="3" t="n"/>
      <c r="B194" s="4" t="n"/>
      <c r="Q194" s="6" t="n"/>
      <c r="R194" s="6" t="n"/>
      <c r="S194" s="6" t="n"/>
      <c r="U194" s="4" t="n"/>
      <c r="AA194" s="3" t="n"/>
      <c r="AB194" s="3" t="n"/>
      <c r="AC194" s="3" t="n"/>
      <c r="AD194" s="3" t="n"/>
      <c r="AE194" s="3" t="n"/>
    </row>
    <row r="195">
      <c r="A195" s="3" t="n"/>
      <c r="B195" s="4" t="n"/>
      <c r="Q195" s="6" t="n"/>
      <c r="R195" s="6" t="n"/>
      <c r="S195" s="6" t="n"/>
      <c r="U195" s="4" t="n"/>
      <c r="AA195" s="3" t="n"/>
      <c r="AB195" s="3" t="n"/>
      <c r="AC195" s="3" t="n"/>
      <c r="AD195" s="3" t="n"/>
      <c r="AE195" s="3" t="n"/>
    </row>
    <row r="196">
      <c r="A196" s="3" t="n"/>
      <c r="B196" s="4" t="n"/>
      <c r="Q196" s="6" t="n"/>
      <c r="R196" s="6" t="n"/>
      <c r="S196" s="6" t="n"/>
      <c r="U196" s="4" t="n"/>
      <c r="AA196" s="3" t="n"/>
      <c r="AB196" s="3" t="n"/>
      <c r="AC196" s="3" t="n"/>
      <c r="AD196" s="3" t="n"/>
      <c r="AE196" s="3" t="n"/>
    </row>
    <row r="197">
      <c r="A197" s="3" t="n"/>
      <c r="B197" s="4" t="n"/>
      <c r="Q197" s="6" t="n"/>
      <c r="R197" s="6" t="n"/>
      <c r="S197" s="6" t="n"/>
      <c r="U197" s="4" t="n"/>
      <c r="AA197" s="3" t="n"/>
      <c r="AB197" s="3" t="n"/>
      <c r="AC197" s="3" t="n"/>
      <c r="AD197" s="3" t="n"/>
      <c r="AE197" s="3" t="n"/>
    </row>
    <row r="198">
      <c r="A198" s="3" t="n"/>
      <c r="B198" s="4" t="n"/>
      <c r="Q198" s="6" t="n"/>
      <c r="R198" s="6" t="n"/>
      <c r="S198" s="6" t="n"/>
      <c r="U198" s="4" t="n"/>
      <c r="AA198" s="3" t="n"/>
      <c r="AB198" s="3" t="n"/>
      <c r="AC198" s="3" t="n"/>
      <c r="AD198" s="3" t="n"/>
      <c r="AE198" s="3" t="n"/>
    </row>
    <row r="199">
      <c r="A199" s="3" t="n"/>
      <c r="B199" s="4" t="n"/>
      <c r="Q199" s="6" t="n"/>
      <c r="R199" s="6" t="n"/>
      <c r="S199" s="6" t="n"/>
      <c r="U199" s="4" t="n"/>
      <c r="AA199" s="3" t="n"/>
      <c r="AB199" s="3" t="n"/>
      <c r="AC199" s="3" t="n"/>
      <c r="AD199" s="3" t="n"/>
      <c r="AE199" s="3" t="n"/>
    </row>
    <row r="200">
      <c r="A200" s="3" t="n"/>
      <c r="B200" s="4" t="n"/>
      <c r="Q200" s="6" t="n"/>
      <c r="R200" s="6" t="n"/>
      <c r="S200" s="6" t="n"/>
      <c r="U200" s="4" t="n"/>
      <c r="AA200" s="3" t="n"/>
      <c r="AB200" s="3" t="n"/>
      <c r="AC200" s="3" t="n"/>
      <c r="AD200" s="3" t="n"/>
      <c r="AE200" s="3" t="n"/>
    </row>
    <row r="201">
      <c r="A201" s="3" t="n"/>
      <c r="B201" s="4" t="n"/>
      <c r="Q201" s="6" t="n"/>
      <c r="R201" s="6" t="n"/>
      <c r="S201" s="6" t="n"/>
      <c r="U201" s="4" t="n"/>
      <c r="AA201" s="3" t="n"/>
      <c r="AB201" s="3" t="n"/>
      <c r="AC201" s="3" t="n"/>
      <c r="AD201" s="3" t="n"/>
      <c r="AE201" s="3" t="n"/>
    </row>
    <row r="202">
      <c r="A202" s="3" t="n"/>
      <c r="B202" s="4" t="n"/>
      <c r="Q202" s="6" t="n"/>
      <c r="R202" s="6" t="n"/>
      <c r="S202" s="6" t="n"/>
      <c r="U202" s="4" t="n"/>
      <c r="AA202" s="3" t="n"/>
      <c r="AB202" s="3" t="n"/>
      <c r="AC202" s="3" t="n"/>
      <c r="AD202" s="3" t="n"/>
      <c r="AE202" s="3" t="n"/>
    </row>
    <row r="203">
      <c r="A203" s="3" t="n"/>
      <c r="B203" s="4" t="n"/>
      <c r="Q203" s="6" t="n"/>
      <c r="R203" s="6" t="n"/>
      <c r="S203" s="6" t="n"/>
      <c r="U203" s="4" t="n"/>
      <c r="AA203" s="3" t="n"/>
      <c r="AB203" s="3" t="n"/>
      <c r="AC203" s="3" t="n"/>
      <c r="AD203" s="3" t="n"/>
      <c r="AE203" s="3" t="n"/>
    </row>
    <row r="204">
      <c r="A204" s="3" t="n"/>
      <c r="B204" s="4" t="n"/>
      <c r="Q204" s="6" t="n"/>
      <c r="R204" s="6" t="n"/>
      <c r="S204" s="6" t="n"/>
      <c r="U204" s="4" t="n"/>
      <c r="AA204" s="3" t="n"/>
      <c r="AB204" s="3" t="n"/>
      <c r="AC204" s="3" t="n"/>
      <c r="AD204" s="3" t="n"/>
      <c r="AE204" s="3" t="n"/>
    </row>
    <row r="205">
      <c r="A205" s="3" t="n"/>
      <c r="B205" s="4" t="n"/>
      <c r="Q205" s="6" t="n"/>
      <c r="R205" s="6" t="n"/>
      <c r="S205" s="6" t="n"/>
      <c r="U205" s="4" t="n"/>
      <c r="AA205" s="3" t="n"/>
      <c r="AB205" s="3" t="n"/>
      <c r="AC205" s="3" t="n"/>
      <c r="AD205" s="3" t="n"/>
      <c r="AE205" s="3" t="n"/>
    </row>
    <row r="206">
      <c r="A206" s="3" t="n"/>
      <c r="B206" s="4" t="n"/>
      <c r="Q206" s="6" t="n"/>
      <c r="R206" s="6" t="n"/>
      <c r="S206" s="6" t="n"/>
      <c r="U206" s="4" t="n"/>
      <c r="AA206" s="3" t="n"/>
      <c r="AB206" s="3" t="n"/>
      <c r="AC206" s="3" t="n"/>
      <c r="AD206" s="3" t="n"/>
      <c r="AE206" s="3" t="n"/>
    </row>
    <row r="207">
      <c r="A207" s="3" t="n"/>
      <c r="B207" s="4" t="n"/>
      <c r="Q207" s="6" t="n"/>
      <c r="R207" s="6" t="n"/>
      <c r="S207" s="6" t="n"/>
      <c r="U207" s="4" t="n"/>
      <c r="AA207" s="3" t="n"/>
      <c r="AB207" s="3" t="n"/>
      <c r="AC207" s="3" t="n"/>
      <c r="AD207" s="3" t="n"/>
      <c r="AE207" s="3" t="n"/>
    </row>
    <row r="208">
      <c r="A208" s="3" t="n"/>
      <c r="B208" s="4" t="n"/>
      <c r="Q208" s="6" t="n"/>
      <c r="R208" s="6" t="n"/>
      <c r="S208" s="6" t="n"/>
      <c r="U208" s="4" t="n"/>
      <c r="AA208" s="3" t="n"/>
      <c r="AB208" s="3" t="n"/>
      <c r="AC208" s="3" t="n"/>
      <c r="AD208" s="3" t="n"/>
      <c r="AE208" s="3" t="n"/>
    </row>
    <row r="209">
      <c r="A209" s="3" t="n"/>
      <c r="B209" s="4" t="n"/>
      <c r="Q209" s="6" t="n"/>
      <c r="R209" s="6" t="n"/>
      <c r="S209" s="6" t="n"/>
      <c r="U209" s="4" t="n"/>
      <c r="AA209" s="3" t="n"/>
      <c r="AB209" s="3" t="n"/>
      <c r="AC209" s="3" t="n"/>
      <c r="AD209" s="3" t="n"/>
      <c r="AE209" s="3" t="n"/>
    </row>
  </sheetData>
  <autoFilter ref="A1:Y9"/>
  <dataValidations count="6">
    <dataValidation sqref="O2:O5000" showDropDown="0" showInputMessage="0" showErrorMessage="1" allowBlank="1" errorTitle="Valor fora da lista" error="Esse valor não está na aba Listas do CRM." type="list" errorStyle="warning">
      <formula1>"Novo lead,Primeiro contato,Aguardando retorno,Reunião agendada,Reunião realizada,Proposta enviada,Negociação,Fechado,Perdido"</formula1>
    </dataValidation>
    <dataValidation sqref="T2:T5000" showDropDown="0" showInputMessage="0" showErrorMessage="1" allowBlank="1" errorTitle="Valor fora da lista" error="Esse valor não está na aba Listas do CRM." type="list" errorStyle="warning">
      <formula1>"Frio,Morno,Quente"</formula1>
    </dataValidation>
    <dataValidation sqref="K2:K5000" showDropDown="0" showInputMessage="0" showErrorMessage="1" allowBlank="1" errorTitle="Valor fora da lista" error="Esse valor não está na aba Listas do CRM." type="list" errorStyle="warning">
      <formula1>'Listas do CRM'!$B$2:$B$100</formula1>
    </dataValidation>
    <dataValidation sqref="L2:L5000" showDropDown="0" showInputMessage="0" showErrorMessage="1" allowBlank="1" errorTitle="Valor fora da lista" error="Esse valor não está na aba Listas do CRM." type="list" errorStyle="warning">
      <formula1>'Listas do CRM'!$C$2:$C$100</formula1>
    </dataValidation>
    <dataValidation sqref="J2:J5000" showDropDown="0" showInputMessage="0" showErrorMessage="1" allowBlank="1" errorTitle="Valor fora da lista" error="Esse valor não está na aba Listas do CRM." type="list" errorStyle="warning">
      <formula1>'Listas do CRM'!$D$2:$D$100</formula1>
    </dataValidation>
    <dataValidation sqref="V2:V5000" showDropDown="0" showInputMessage="0" showErrorMessage="1" allowBlank="1" errorTitle="Valor fora da lista" error="Esse valor não está na aba Listas do CRM." type="list" errorStyle="warning">
      <formula1>'Listas do CRM'!$E$2:$E$100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01419"/>
    <outlinePr summaryBelow="1" summaryRight="1"/>
    <pageSetUpPr/>
  </sheetPr>
  <dimension ref="A1:L2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3" customWidth="1" min="4" max="4"/>
    <col width="22" customWidth="1" min="5" max="5"/>
    <col width="12" customWidth="1" min="6" max="6"/>
    <col width="3" customWidth="1" min="7" max="7"/>
    <col width="22" customWidth="1" min="8" max="8"/>
    <col width="12" customWidth="1" min="9" max="9"/>
    <col width="3" customWidth="1" min="10" max="10"/>
    <col width="24" customWidth="1" min="11" max="11"/>
    <col width="12" customWidth="1" min="12" max="12"/>
  </cols>
  <sheetData>
    <row r="1">
      <c r="A1" s="7" t="inlineStr">
        <is>
          <t>Painel comercial</t>
        </is>
      </c>
    </row>
    <row r="2">
      <c r="A2" s="8" t="inlineStr">
        <is>
          <t>Atualiza sozinho com a aba Leads. O CRM tem um painel mais completo, com filtros por período.</t>
        </is>
      </c>
    </row>
    <row r="4">
      <c r="A4" s="9" t="inlineStr">
        <is>
          <t>TOTAL DE LEADS</t>
        </is>
      </c>
      <c r="C4" s="9" t="inlineStr">
        <is>
          <t>FECHADOS</t>
        </is>
      </c>
      <c r="E4" s="9" t="inlineStr">
        <is>
          <t>TAXA DE CONVERSÃO</t>
        </is>
      </c>
      <c r="H4" s="10" t="inlineStr">
        <is>
          <t>FECHADO (R$/MÊS)</t>
        </is>
      </c>
      <c r="I4" s="11" t="n"/>
      <c r="K4" s="9" t="inlineStr">
        <is>
          <t>PIPELINE EM ABERTO (R$/MÊS)</t>
        </is>
      </c>
    </row>
    <row r="5">
      <c r="A5" s="12">
        <f>SUMPRODUCT(--(LEN(Leads!$C$2:$C$5000&amp;Leads!$D$2:$D$5000)&gt;0))</f>
        <v/>
      </c>
      <c r="C5" s="12">
        <f>COUNTIF(Leads!$O$2:$O$5000,"Fechado")</f>
        <v/>
      </c>
      <c r="E5" s="13">
        <f>IFERROR(C5/A5,0)</f>
        <v/>
      </c>
      <c r="H5" s="14">
        <f>SUMIF(Leads!$O$2:$O$5000,"Fechado",Leads!$Q$2:$Q$5000)</f>
        <v/>
      </c>
      <c r="I5" s="11" t="n"/>
      <c r="K5" s="15">
        <f>SUM(Leads!$Q$2:$Q$5000)-SUMIF(Leads!$O$2:$O$5000,"Fechado",Leads!$Q$2:$Q$5000)-SUMIF(Leads!$O$2:$O$5000,"Perdido",Leads!$Q$2:$Q$5000)</f>
        <v/>
      </c>
    </row>
    <row r="6">
      <c r="A6" s="9" t="inlineStr">
        <is>
          <t>Ticket médio (R$/mês)</t>
        </is>
      </c>
      <c r="C6" s="16">
        <f>IFERROR(H5/C5,0)</f>
        <v/>
      </c>
    </row>
    <row r="8">
      <c r="A8" s="17" t="inlineStr">
        <is>
          <t>Leads por etapa</t>
        </is>
      </c>
      <c r="E8" s="17" t="inlineStr">
        <is>
          <t>Leads por canal</t>
        </is>
      </c>
      <c r="H8" s="17" t="inlineStr">
        <is>
          <t>Leads por serviço</t>
        </is>
      </c>
      <c r="K8" s="17" t="inlineStr">
        <is>
          <t>Leads por origem</t>
        </is>
      </c>
    </row>
    <row r="9">
      <c r="A9" s="18" t="inlineStr">
        <is>
          <t>Etapa</t>
        </is>
      </c>
      <c r="B9" s="18" t="inlineStr">
        <is>
          <t>Quantidade</t>
        </is>
      </c>
      <c r="C9" s="18" t="inlineStr">
        <is>
          <t>Fee (R$/mês)</t>
        </is>
      </c>
      <c r="E9" s="18" t="inlineStr">
        <is>
          <t>Canal</t>
        </is>
      </c>
      <c r="F9" s="18" t="inlineStr">
        <is>
          <t>Quantidade</t>
        </is>
      </c>
      <c r="H9" s="18" t="inlineStr">
        <is>
          <t>Serviço</t>
        </is>
      </c>
      <c r="I9" s="18" t="inlineStr">
        <is>
          <t>Quantidade</t>
        </is>
      </c>
      <c r="K9" s="18" t="inlineStr">
        <is>
          <t>Origem</t>
        </is>
      </c>
      <c r="L9" s="18" t="inlineStr">
        <is>
          <t>Quantidade</t>
        </is>
      </c>
    </row>
    <row r="10">
      <c r="A10" s="19" t="inlineStr">
        <is>
          <t>Novo lead</t>
        </is>
      </c>
      <c r="B10" s="20">
        <f>COUNTIF(Leads!$O$2:$O$5000,A10)</f>
        <v/>
      </c>
      <c r="C10" s="21">
        <f>SUMIF(Leads!$O$2:$O$5000,A10,Leads!$Q$2:$Q$5000)</f>
        <v/>
      </c>
      <c r="E10" s="19">
        <f>IF('Listas do CRM'!B2="","",'Listas do CRM'!B2)</f>
        <v/>
      </c>
      <c r="F10" s="20">
        <f>IF(E10="","",COUNTIF(Leads!$K$2:$K$5000,E10))</f>
        <v/>
      </c>
      <c r="H10" s="19">
        <f>IF('Listas do CRM'!A2="","",'Listas do CRM'!A2)</f>
        <v/>
      </c>
      <c r="I10" s="20">
        <f>IF(H10="","",COUNTIF(Leads!$M$2:$M$5000,"*"&amp;H10&amp;"*"))</f>
        <v/>
      </c>
      <c r="K10" s="19">
        <f>IF('Listas do CRM'!C2="","",'Listas do CRM'!C2)</f>
        <v/>
      </c>
      <c r="L10" s="20">
        <f>IF(K10="","",COUNTIF(Leads!$L$2:$L$5000,K10))</f>
        <v/>
      </c>
    </row>
    <row r="11">
      <c r="A11" s="22" t="inlineStr">
        <is>
          <t>Primeiro contato</t>
        </is>
      </c>
      <c r="B11" s="23">
        <f>COUNTIF(Leads!$O$2:$O$5000,A11)</f>
        <v/>
      </c>
      <c r="C11" s="24">
        <f>SUMIF(Leads!$O$2:$O$5000,A11,Leads!$Q$2:$Q$5000)</f>
        <v/>
      </c>
      <c r="E11" s="22">
        <f>IF('Listas do CRM'!B3="","",'Listas do CRM'!B3)</f>
        <v/>
      </c>
      <c r="F11" s="23">
        <f>IF(E11="","",COUNTIF(Leads!$K$2:$K$5000,E11))</f>
        <v/>
      </c>
      <c r="H11" s="22">
        <f>IF('Listas do CRM'!A3="","",'Listas do CRM'!A3)</f>
        <v/>
      </c>
      <c r="I11" s="23">
        <f>IF(H11="","",COUNTIF(Leads!$M$2:$M$5000,"*"&amp;H11&amp;"*"))</f>
        <v/>
      </c>
      <c r="K11" s="22">
        <f>IF('Listas do CRM'!C3="","",'Listas do CRM'!C3)</f>
        <v/>
      </c>
      <c r="L11" s="23">
        <f>IF(K11="","",COUNTIF(Leads!$L$2:$L$5000,K11))</f>
        <v/>
      </c>
    </row>
    <row r="12">
      <c r="A12" s="19" t="inlineStr">
        <is>
          <t>Aguardando retorno</t>
        </is>
      </c>
      <c r="B12" s="20">
        <f>COUNTIF(Leads!$O$2:$O$5000,A12)</f>
        <v/>
      </c>
      <c r="C12" s="21">
        <f>SUMIF(Leads!$O$2:$O$5000,A12,Leads!$Q$2:$Q$5000)</f>
        <v/>
      </c>
      <c r="E12" s="19">
        <f>IF('Listas do CRM'!B4="","",'Listas do CRM'!B4)</f>
        <v/>
      </c>
      <c r="F12" s="20">
        <f>IF(E12="","",COUNTIF(Leads!$K$2:$K$5000,E12))</f>
        <v/>
      </c>
      <c r="H12" s="19">
        <f>IF('Listas do CRM'!A4="","",'Listas do CRM'!A4)</f>
        <v/>
      </c>
      <c r="I12" s="20">
        <f>IF(H12="","",COUNTIF(Leads!$M$2:$M$5000,"*"&amp;H12&amp;"*"))</f>
        <v/>
      </c>
      <c r="K12" s="19">
        <f>IF('Listas do CRM'!C4="","",'Listas do CRM'!C4)</f>
        <v/>
      </c>
      <c r="L12" s="20">
        <f>IF(K12="","",COUNTIF(Leads!$L$2:$L$5000,K12))</f>
        <v/>
      </c>
    </row>
    <row r="13">
      <c r="A13" s="22" t="inlineStr">
        <is>
          <t>Reunião agendada</t>
        </is>
      </c>
      <c r="B13" s="23">
        <f>COUNTIF(Leads!$O$2:$O$5000,A13)</f>
        <v/>
      </c>
      <c r="C13" s="24">
        <f>SUMIF(Leads!$O$2:$O$5000,A13,Leads!$Q$2:$Q$5000)</f>
        <v/>
      </c>
      <c r="E13" s="22">
        <f>IF('Listas do CRM'!B5="","",'Listas do CRM'!B5)</f>
        <v/>
      </c>
      <c r="F13" s="23">
        <f>IF(E13="","",COUNTIF(Leads!$K$2:$K$5000,E13))</f>
        <v/>
      </c>
      <c r="H13" s="22">
        <f>IF('Listas do CRM'!A5="","",'Listas do CRM'!A5)</f>
        <v/>
      </c>
      <c r="I13" s="23">
        <f>IF(H13="","",COUNTIF(Leads!$M$2:$M$5000,"*"&amp;H13&amp;"*"))</f>
        <v/>
      </c>
      <c r="K13" s="22">
        <f>IF('Listas do CRM'!C5="","",'Listas do CRM'!C5)</f>
        <v/>
      </c>
      <c r="L13" s="23">
        <f>IF(K13="","",COUNTIF(Leads!$L$2:$L$5000,K13))</f>
        <v/>
      </c>
    </row>
    <row r="14">
      <c r="A14" s="19" t="inlineStr">
        <is>
          <t>Reunião realizada</t>
        </is>
      </c>
      <c r="B14" s="20">
        <f>COUNTIF(Leads!$O$2:$O$5000,A14)</f>
        <v/>
      </c>
      <c r="C14" s="21">
        <f>SUMIF(Leads!$O$2:$O$5000,A14,Leads!$Q$2:$Q$5000)</f>
        <v/>
      </c>
      <c r="E14" s="19">
        <f>IF('Listas do CRM'!B6="","",'Listas do CRM'!B6)</f>
        <v/>
      </c>
      <c r="F14" s="20">
        <f>IF(E14="","",COUNTIF(Leads!$K$2:$K$5000,E14))</f>
        <v/>
      </c>
      <c r="H14" s="19">
        <f>IF('Listas do CRM'!A6="","",'Listas do CRM'!A6)</f>
        <v/>
      </c>
      <c r="I14" s="20">
        <f>IF(H14="","",COUNTIF(Leads!$M$2:$M$5000,"*"&amp;H14&amp;"*"))</f>
        <v/>
      </c>
      <c r="K14" s="19">
        <f>IF('Listas do CRM'!C6="","",'Listas do CRM'!C6)</f>
        <v/>
      </c>
      <c r="L14" s="20">
        <f>IF(K14="","",COUNTIF(Leads!$L$2:$L$5000,K14))</f>
        <v/>
      </c>
    </row>
    <row r="15">
      <c r="A15" s="22" t="inlineStr">
        <is>
          <t>Proposta enviada</t>
        </is>
      </c>
      <c r="B15" s="23">
        <f>COUNTIF(Leads!$O$2:$O$5000,A15)</f>
        <v/>
      </c>
      <c r="C15" s="24">
        <f>SUMIF(Leads!$O$2:$O$5000,A15,Leads!$Q$2:$Q$5000)</f>
        <v/>
      </c>
      <c r="E15" s="22">
        <f>IF('Listas do CRM'!B7="","",'Listas do CRM'!B7)</f>
        <v/>
      </c>
      <c r="F15" s="23">
        <f>IF(E15="","",COUNTIF(Leads!$K$2:$K$5000,E15))</f>
        <v/>
      </c>
      <c r="H15" s="22">
        <f>IF('Listas do CRM'!A7="","",'Listas do CRM'!A7)</f>
        <v/>
      </c>
      <c r="I15" s="23">
        <f>IF(H15="","",COUNTIF(Leads!$M$2:$M$5000,"*"&amp;H15&amp;"*"))</f>
        <v/>
      </c>
      <c r="K15" s="22">
        <f>IF('Listas do CRM'!C7="","",'Listas do CRM'!C7)</f>
        <v/>
      </c>
      <c r="L15" s="23">
        <f>IF(K15="","",COUNTIF(Leads!$L$2:$L$5000,K15))</f>
        <v/>
      </c>
    </row>
    <row r="16">
      <c r="A16" s="19" t="inlineStr">
        <is>
          <t>Negociação</t>
        </is>
      </c>
      <c r="B16" s="20">
        <f>COUNTIF(Leads!$O$2:$O$5000,A16)</f>
        <v/>
      </c>
      <c r="C16" s="21">
        <f>SUMIF(Leads!$O$2:$O$5000,A16,Leads!$Q$2:$Q$5000)</f>
        <v/>
      </c>
      <c r="E16" s="19">
        <f>IF('Listas do CRM'!B8="","",'Listas do CRM'!B8)</f>
        <v/>
      </c>
      <c r="F16" s="20">
        <f>IF(E16="","",COUNTIF(Leads!$K$2:$K$5000,E16))</f>
        <v/>
      </c>
      <c r="H16" s="19">
        <f>IF('Listas do CRM'!A8="","",'Listas do CRM'!A8)</f>
        <v/>
      </c>
      <c r="I16" s="20">
        <f>IF(H16="","",COUNTIF(Leads!$M$2:$M$5000,"*"&amp;H16&amp;"*"))</f>
        <v/>
      </c>
      <c r="K16" s="19">
        <f>IF('Listas do CRM'!C8="","",'Listas do CRM'!C8)</f>
        <v/>
      </c>
      <c r="L16" s="20">
        <f>IF(K16="","",COUNTIF(Leads!$L$2:$L$5000,K16))</f>
        <v/>
      </c>
    </row>
    <row r="17">
      <c r="A17" s="22" t="inlineStr">
        <is>
          <t>Fechado</t>
        </is>
      </c>
      <c r="B17" s="23">
        <f>COUNTIF(Leads!$O$2:$O$5000,A17)</f>
        <v/>
      </c>
      <c r="C17" s="24">
        <f>SUMIF(Leads!$O$2:$O$5000,A17,Leads!$Q$2:$Q$5000)</f>
        <v/>
      </c>
      <c r="E17" s="22">
        <f>IF('Listas do CRM'!B9="","",'Listas do CRM'!B9)</f>
        <v/>
      </c>
      <c r="F17" s="23">
        <f>IF(E17="","",COUNTIF(Leads!$K$2:$K$5000,E17))</f>
        <v/>
      </c>
      <c r="H17" s="22">
        <f>IF('Listas do CRM'!A9="","",'Listas do CRM'!A9)</f>
        <v/>
      </c>
      <c r="I17" s="23">
        <f>IF(H17="","",COUNTIF(Leads!$M$2:$M$5000,"*"&amp;H17&amp;"*"))</f>
        <v/>
      </c>
      <c r="K17" s="22">
        <f>IF('Listas do CRM'!C9="","",'Listas do CRM'!C9)</f>
        <v/>
      </c>
      <c r="L17" s="23">
        <f>IF(K17="","",COUNTIF(Leads!$L$2:$L$5000,K17))</f>
        <v/>
      </c>
    </row>
    <row r="18">
      <c r="A18" s="19" t="inlineStr">
        <is>
          <t>Perdido</t>
        </is>
      </c>
      <c r="B18" s="20">
        <f>COUNTIF(Leads!$O$2:$O$5000,A18)</f>
        <v/>
      </c>
      <c r="C18" s="21">
        <f>SUMIF(Leads!$O$2:$O$5000,A18,Leads!$Q$2:$Q$5000)</f>
        <v/>
      </c>
      <c r="E18" s="19">
        <f>IF('Listas do CRM'!B10="","",'Listas do CRM'!B10)</f>
        <v/>
      </c>
      <c r="F18" s="20">
        <f>IF(E18="","",COUNTIF(Leads!$K$2:$K$5000,E18))</f>
        <v/>
      </c>
      <c r="H18" s="19">
        <f>IF('Listas do CRM'!A10="","",'Listas do CRM'!A10)</f>
        <v/>
      </c>
      <c r="I18" s="20">
        <f>IF(H18="","",COUNTIF(Leads!$M$2:$M$5000,"*"&amp;H18&amp;"*"))</f>
        <v/>
      </c>
      <c r="K18" s="19">
        <f>IF('Listas do CRM'!C10="","",'Listas do CRM'!C10)</f>
        <v/>
      </c>
      <c r="L18" s="20">
        <f>IF(K18="","",COUNTIF(Leads!$L$2:$L$5000,K18))</f>
        <v/>
      </c>
    </row>
    <row r="19">
      <c r="E19" s="22">
        <f>IF('Listas do CRM'!B11="","",'Listas do CRM'!B11)</f>
        <v/>
      </c>
      <c r="F19" s="23">
        <f>IF(E19="","",COUNTIF(Leads!$K$2:$K$5000,E19))</f>
        <v/>
      </c>
      <c r="H19" s="22">
        <f>IF('Listas do CRM'!A11="","",'Listas do CRM'!A11)</f>
        <v/>
      </c>
      <c r="I19" s="23">
        <f>IF(H19="","",COUNTIF(Leads!$M$2:$M$5000,"*"&amp;H19&amp;"*"))</f>
        <v/>
      </c>
      <c r="K19" s="22">
        <f>IF('Listas do CRM'!C11="","",'Listas do CRM'!C11)</f>
        <v/>
      </c>
      <c r="L19" s="23">
        <f>IF(K19="","",COUNTIF(Leads!$L$2:$L$5000,K19))</f>
        <v/>
      </c>
    </row>
    <row r="20">
      <c r="E20" s="19">
        <f>IF('Listas do CRM'!B12="","",'Listas do CRM'!B12)</f>
        <v/>
      </c>
      <c r="F20" s="20">
        <f>IF(E20="","",COUNTIF(Leads!$K$2:$K$5000,E20))</f>
        <v/>
      </c>
      <c r="H20" s="19">
        <f>IF('Listas do CRM'!A12="","",'Listas do CRM'!A12)</f>
        <v/>
      </c>
      <c r="I20" s="20">
        <f>IF(H20="","",COUNTIF(Leads!$M$2:$M$5000,"*"&amp;H20&amp;"*"))</f>
        <v/>
      </c>
      <c r="K20" s="19">
        <f>IF('Listas do CRM'!C12="","",'Listas do CRM'!C12)</f>
        <v/>
      </c>
      <c r="L20" s="20">
        <f>IF(K20="","",COUNTIF(Leads!$L$2:$L$5000,K20))</f>
        <v/>
      </c>
    </row>
    <row r="21">
      <c r="E21" s="22">
        <f>IF('Listas do CRM'!B13="","",'Listas do CRM'!B13)</f>
        <v/>
      </c>
      <c r="F21" s="23">
        <f>IF(E21="","",COUNTIF(Leads!$K$2:$K$5000,E21))</f>
        <v/>
      </c>
      <c r="H21" s="22">
        <f>IF('Listas do CRM'!A13="","",'Listas do CRM'!A13)</f>
        <v/>
      </c>
      <c r="I21" s="23">
        <f>IF(H21="","",COUNTIF(Leads!$M$2:$M$5000,"*"&amp;H21&amp;"*"))</f>
        <v/>
      </c>
      <c r="K21" s="22">
        <f>IF('Listas do CRM'!C13="","",'Listas do CRM'!C13)</f>
        <v/>
      </c>
      <c r="L21" s="23">
        <f>IF(K21="","",COUNTIF(Leads!$L$2:$L$5000,K21))</f>
        <v/>
      </c>
    </row>
    <row r="23">
      <c r="E23" s="8" t="inlineStr">
        <is>
          <t>Mostra as 12 primeiras opções de cada lista.</t>
        </is>
      </c>
      <c r="H23" s="8" t="inlineStr">
        <is>
          <t>Um lead pode querer mais de um serviço.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8" max="8"/>
  </cols>
  <sheetData>
    <row r="1">
      <c r="A1" s="25" t="inlineStr">
        <is>
          <t>Serviços</t>
        </is>
      </c>
      <c r="B1" s="25" t="inlineStr">
        <is>
          <t>Canais de entrada</t>
        </is>
      </c>
      <c r="C1" s="25" t="inlineStr">
        <is>
          <t>Origem detalhada</t>
        </is>
      </c>
      <c r="D1" s="25" t="inlineStr">
        <is>
          <t>Nichos</t>
        </is>
      </c>
      <c r="E1" s="25" t="inlineStr">
        <is>
          <t>Responsáveis</t>
        </is>
      </c>
      <c r="F1" s="25" t="inlineStr">
        <is>
          <t>Motivos de perda</t>
        </is>
      </c>
      <c r="H1" s="26" t="inlineStr">
        <is>
          <t>Etapas do funil (fixas)</t>
        </is>
      </c>
    </row>
    <row r="2">
      <c r="A2" s="5" t="inlineStr">
        <is>
          <t>Tráfego Pago</t>
        </is>
      </c>
      <c r="B2" s="5" t="inlineStr">
        <is>
          <t>Tráfego pago</t>
        </is>
      </c>
      <c r="C2" s="5" t="inlineStr">
        <is>
          <t>Google Ads</t>
        </is>
      </c>
      <c r="D2" s="5" t="inlineStr">
        <is>
          <t>Advocacia</t>
        </is>
      </c>
      <c r="E2" s="5" t="inlineStr">
        <is>
          <t>Vinicius</t>
        </is>
      </c>
      <c r="F2" s="5" t="inlineStr">
        <is>
          <t>Sem orçamento</t>
        </is>
      </c>
      <c r="H2" s="8" t="inlineStr">
        <is>
          <t>Novo lead</t>
        </is>
      </c>
    </row>
    <row r="3">
      <c r="A3" s="5" t="inlineStr">
        <is>
          <t>Social Media</t>
        </is>
      </c>
      <c r="B3" s="5" t="inlineStr">
        <is>
          <t>Site</t>
        </is>
      </c>
      <c r="C3" s="5" t="inlineStr">
        <is>
          <t>Meta Ads - Facebook</t>
        </is>
      </c>
      <c r="D3" s="5" t="inlineStr">
        <is>
          <t>Saúde</t>
        </is>
      </c>
      <c r="F3" s="5" t="inlineStr">
        <is>
          <t>Fechou com outra agência</t>
        </is>
      </c>
      <c r="H3" s="8" t="inlineStr">
        <is>
          <t>Primeiro contato</t>
        </is>
      </c>
    </row>
    <row r="4">
      <c r="A4" s="5" t="inlineStr">
        <is>
          <t>Landing Page</t>
        </is>
      </c>
      <c r="B4" s="5" t="inlineStr">
        <is>
          <t>Orgânico</t>
        </is>
      </c>
      <c r="C4" s="5" t="inlineStr">
        <is>
          <t>Meta Ads - Instagram</t>
        </is>
      </c>
      <c r="D4" s="5" t="inlineStr">
        <is>
          <t>Estética e beleza</t>
        </is>
      </c>
      <c r="F4" s="5" t="inlineStr">
        <is>
          <t>Sem resposta</t>
        </is>
      </c>
      <c r="H4" s="8" t="inlineStr">
        <is>
          <t>Aguardando retorno</t>
        </is>
      </c>
    </row>
    <row r="5">
      <c r="A5" s="5" t="inlineStr">
        <is>
          <t>Site</t>
        </is>
      </c>
      <c r="B5" s="5" t="inlineStr">
        <is>
          <t>Indicação</t>
        </is>
      </c>
      <c r="C5" s="5" t="inlineStr">
        <is>
          <t>Site</t>
        </is>
      </c>
      <c r="D5" s="5" t="inlineStr">
        <is>
          <t>Alimentação</t>
        </is>
      </c>
      <c r="F5" s="5" t="inlineStr">
        <is>
          <t>Desqualificado</t>
        </is>
      </c>
      <c r="H5" s="8" t="inlineStr">
        <is>
          <t>Reunião agendada</t>
        </is>
      </c>
    </row>
    <row r="6">
      <c r="A6" s="5" t="inlineStr">
        <is>
          <t>Identidade Visual</t>
        </is>
      </c>
      <c r="B6" s="5" t="inlineStr">
        <is>
          <t>WhatsApp</t>
        </is>
      </c>
      <c r="C6" s="5" t="inlineStr">
        <is>
          <t>Instagram orgânico</t>
        </is>
      </c>
      <c r="D6" s="5" t="inlineStr">
        <is>
          <t>Varejo</t>
        </is>
      </c>
      <c r="F6" s="5" t="inlineStr">
        <is>
          <t>Adiou a decisão</t>
        </is>
      </c>
      <c r="H6" s="8" t="inlineStr">
        <is>
          <t>Reunião realizada</t>
        </is>
      </c>
    </row>
    <row r="7">
      <c r="A7" s="5" t="inlineStr">
        <is>
          <t>Produção de Vídeo</t>
        </is>
      </c>
      <c r="B7" s="5" t="inlineStr">
        <is>
          <t>Prospecção ativa</t>
        </is>
      </c>
      <c r="C7" s="5" t="inlineStr">
        <is>
          <t>Indicação</t>
        </is>
      </c>
      <c r="D7" s="5" t="inlineStr">
        <is>
          <t>Imobiliário</t>
        </is>
      </c>
      <c r="F7" s="5" t="inlineStr">
        <is>
          <t>Vai fazer por conta própria</t>
        </is>
      </c>
      <c r="H7" s="8" t="inlineStr">
        <is>
          <t>Proposta enviada</t>
        </is>
      </c>
    </row>
    <row r="8">
      <c r="A8" s="5" t="inlineStr">
        <is>
          <t>Gestão 360</t>
        </is>
      </c>
      <c r="B8" s="5" t="inlineStr">
        <is>
          <t>Outro</t>
        </is>
      </c>
      <c r="C8" s="5" t="inlineStr">
        <is>
          <t>WhatsApp</t>
        </is>
      </c>
      <c r="D8" s="5" t="inlineStr">
        <is>
          <t>Educação</t>
        </is>
      </c>
      <c r="F8" s="5" t="inlineStr">
        <is>
          <t>Outro</t>
        </is>
      </c>
      <c r="H8" s="8" t="inlineStr">
        <is>
          <t>Negociação</t>
        </is>
      </c>
    </row>
    <row r="9">
      <c r="A9" s="5" t="inlineStr">
        <is>
          <t>Consultoria</t>
        </is>
      </c>
      <c r="B9" s="5" t="inlineStr">
        <is>
          <t>Não informado</t>
        </is>
      </c>
      <c r="C9" s="5" t="inlineStr">
        <is>
          <t>Prospecção ativa</t>
        </is>
      </c>
      <c r="D9" s="5" t="inlineStr">
        <is>
          <t>Energia solar</t>
        </is>
      </c>
      <c r="H9" s="8" t="inlineStr">
        <is>
          <t>Fechado</t>
        </is>
      </c>
    </row>
    <row r="10">
      <c r="A10" s="5" t="inlineStr">
        <is>
          <t>SEO</t>
        </is>
      </c>
      <c r="C10" s="5" t="inlineStr">
        <is>
          <t>Evento</t>
        </is>
      </c>
      <c r="D10" s="5" t="inlineStr">
        <is>
          <t>Serviços locais</t>
        </is>
      </c>
      <c r="H10" s="8" t="inlineStr">
        <is>
          <t>Perdido</t>
        </is>
      </c>
    </row>
    <row r="11">
      <c r="A11" s="5" t="inlineStr">
        <is>
          <t>Automação / CRM</t>
        </is>
      </c>
      <c r="C11" s="5" t="inlineStr">
        <is>
          <t>Outro</t>
        </is>
      </c>
      <c r="D11" s="5" t="inlineStr">
        <is>
          <t>Outro</t>
        </is>
      </c>
    </row>
    <row r="12">
      <c r="C12" s="5" t="inlineStr">
        <is>
          <t>Não informado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9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7" t="inlineStr">
        <is>
          <t>CRM Shark Digital · banco de dados</t>
        </is>
      </c>
    </row>
    <row r="2">
      <c r="A2" s="28" t="inlineStr">
        <is>
          <t>Esta planilha é o banco de dados do CRM em seusite/crm. O CRM lê e grava aqui.</t>
        </is>
      </c>
    </row>
    <row r="3">
      <c r="A3" s="29" t="n"/>
    </row>
    <row r="4">
      <c r="A4" s="30" t="inlineStr">
        <is>
          <t>O que pode editar</t>
        </is>
      </c>
    </row>
    <row r="5">
      <c r="A5" s="31" t="inlineStr">
        <is>
          <t>• Aba Leads: as colunas visíveis (Empresa, Status, Fee Mensal, Próximo Retorno…). O CRM puxa as mudanças em até 20 segundos.</t>
        </is>
      </c>
    </row>
    <row r="6">
      <c r="A6" s="31" t="inlineStr">
        <is>
          <t>• Aba Listas do CRM: as opções dos menus (serviços, canais, origens, nichos, responsáveis, motivos de perda).</t>
        </is>
      </c>
    </row>
    <row r="7">
      <c r="A7" s="31" t="inlineStr">
        <is>
          <t>• Datas no formato dd/mm/aaaa. Status e Temperatura usam as opções da lista suspensa.</t>
        </is>
      </c>
    </row>
    <row r="8">
      <c r="A8" s="29" t="n"/>
    </row>
    <row r="9">
      <c r="A9" s="30" t="inlineStr">
        <is>
          <t>O que não pode mexer</t>
        </is>
      </c>
    </row>
    <row r="10">
      <c r="A10" s="31" t="inlineStr">
        <is>
          <t>• Não renomeie os títulos da linha 1 da aba Leads nem da aba Listas do CRM: o CRM encontra as colunas pelo nome.</t>
        </is>
      </c>
    </row>
    <row r="11">
      <c r="A11" s="31" t="inlineStr">
        <is>
          <t>• As colunas que começam com _ (ocultas, depois de Aviso Telefone) são do sistema: id, ordem dos cards, datas internas e histórico.</t>
        </is>
      </c>
    </row>
    <row r="12">
      <c r="A12" s="31" t="inlineStr">
        <is>
          <t>• Não renomeie as abas Leads e Listas do CRM.</t>
        </is>
      </c>
    </row>
    <row r="13">
      <c r="A13" s="29" t="n"/>
    </row>
    <row r="14">
      <c r="A14" s="30" t="inlineStr">
        <is>
          <t>Exemplos</t>
        </is>
      </c>
    </row>
    <row r="15">
      <c r="A15" s="31" t="inlineStr">
        <is>
          <t>As 8 primeiras linhas da aba Leads são exemplos (coluna _exemplo = VERDADEIRO). Apague pelo botão “Apagar exemplos” no CRM.</t>
        </is>
      </c>
    </row>
    <row r="16">
      <c r="A16" s="29" t="n"/>
    </row>
    <row r="17">
      <c r="A17" s="30" t="inlineStr">
        <is>
          <t>Acesso</t>
        </is>
      </c>
    </row>
    <row r="18">
      <c r="A18" s="31" t="inlineStr">
        <is>
          <t>Compartilhe esta planilha como Editor com o e-mail da conta de serviço do Google (termina em iam.gserviceaccount.com).</t>
        </is>
      </c>
    </row>
    <row r="19">
      <c r="A19" s="31" t="inlineStr">
        <is>
          <t>Quem entra no CRM é definido pela lista de e-mails admin no Vercel, não pelo compartilhamento da planilha.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2026-10-14T04:10:43Z</dcterms:created>
  <dcterms:modified xsi:type="dcterms:W3CDTF">2026-10-14T04:10:43Z</dcterms:modified>
</cp:coreProperties>
</file>